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Code\Paylocity\utility-TalentEngineeringMetricsAnalysis\input\"/>
    </mc:Choice>
  </mc:AlternateContent>
  <xr:revisionPtr revIDLastSave="0" documentId="13_ncr:1_{B76A897A-893A-4486-B9CE-295EFFCC6FA9}" xr6:coauthVersionLast="47" xr6:coauthVersionMax="47" xr10:uidLastSave="{00000000-0000-0000-0000-000000000000}"/>
  <bookViews>
    <workbookView xWindow="-30096" yWindow="1008" windowWidth="28800" windowHeight="15348" firstSheet="3" activeTab="4" xr2:uid="{6B750400-47BC-8C40-A45D-AB63E3D62277}"/>
  </bookViews>
  <sheets>
    <sheet name="Detail1" sheetId="3" state="hidden" r:id="rId1"/>
    <sheet name="Summary View" sheetId="2" state="hidden" r:id="rId2"/>
    <sheet name="Instructions" sheetId="4" r:id="rId3"/>
    <sheet name="Product-Level Template" sheetId="1" r:id="rId4"/>
    <sheet name="Team-Level Template" sheetId="5" r:id="rId5"/>
    <sheet name="Sprint -Team-Level Template" sheetId="6" r:id="rId6"/>
  </sheets>
  <definedNames>
    <definedName name="_xlnm._FilterDatabase" localSheetId="5" hidden="1">'Sprint -Team-Level Template'!$A$1:$G$45</definedName>
    <definedName name="_xlnm._FilterDatabase" localSheetId="4" hidden="1">'Team-Level Template'!$A$1:$G$323</definedName>
  </definedNames>
  <calcPr calcId="191028"/>
  <pivotCaches>
    <pivotCache cacheId="0"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0" i="5" l="1"/>
  <c r="G151" i="5"/>
  <c r="G150" i="5"/>
  <c r="G148" i="5"/>
  <c r="G147" i="5"/>
  <c r="G146" i="5"/>
  <c r="F7" i="1"/>
  <c r="F8" i="1"/>
  <c r="F6" i="1"/>
  <c r="F20" i="1"/>
  <c r="F11" i="1"/>
  <c r="F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Bob Baird</author>
    <author>tc={B61C7AFA-B746-4159-BBF9-AC92D96FD902}</author>
    <author>tc={D5D68B15-1865-4976-B2C9-7942B566237E}</author>
    <author>tc={293A1DC0-83E8-4DAC-AC04-310BCAA41795}</author>
    <author>tc={63124B56-1C46-4782-B025-184C3604DF21}</author>
    <author>tc={B78890CE-3469-4264-A708-4F67DA739F8E}</author>
    <author>tc={27E5D0EC-C062-FE4C-85A5-A8489ABC7756}</author>
    <author>tc={0278C716-0407-4A22-9DF1-A31D4D1AD35A}</author>
    <author>tc={5F1CF122-D84A-49AD-8CF9-31F433EB0F64}</author>
    <author>tc={AE802718-D209-4018-A06C-D330D9CFF5A7}</author>
    <author>tc={9C89181D-C23C-443D-9D39-B0E8432148B4}</author>
    <author>tc={13698C37-6222-4173-9103-C7977F3D9517}</author>
    <author>tc={AA6BB827-E35E-49BE-A6B6-CFEF3F42CEE9}</author>
    <author>tc={1931F5A7-DFFC-4FDF-ADA0-15DFDD6649B3}</author>
    <author>tc={2D82A5C6-CA35-49E0-8770-09DC767265A2}</author>
    <author>tc={5F0B5A7D-5C2C-B846-9536-AA5C3E2D236C}</author>
    <author>tc={B9863965-9074-4CB8-BEBD-DB9242D9EB96}</author>
    <author>tc={5FA2D061-A03B-4497-AA83-84ECF349B758}</author>
    <author>tc={768C008D-E8FE-466E-A170-B11D5632336D}</author>
    <author>tc={62BF2DF1-3ED4-41BE-AD61-A99AD2CBE1B0}</author>
    <author>tc={F804C860-8AA6-4E7F-921A-4728656EAFDB}</author>
    <author>tc={86EB280F-6A8D-5B4E-94FE-E06C99FE5900}</author>
    <author>tc={94CC17B5-C33A-4A9B-B358-81C14116B5EE}</author>
    <author>tc={C00FEC15-A220-4C8D-AFD8-467725CA4437}</author>
    <author>tc={2EDC5A13-7939-43DA-9F67-FA9DA59D39BD}</author>
    <author>tc={7B0BA672-0494-654C-9C8D-F2B9D5F10B16}</author>
    <author>tc={37079D49-756A-4EF4-BA45-5BC181462A5D}</author>
    <author>tc={85ACC69E-BEE8-41A4-8882-B85E61A6541A}</author>
    <author>tc={340F5190-5C02-4B84-B281-6F63FED61917}</author>
    <author>tc={03DF81B8-1468-45D2-9488-872129B913E9}</author>
    <author>tc={4F12BE59-168D-4EFF-9481-47B9AB7A0FB1}</author>
    <author>tc={C1A8FC97-1BD7-43AF-86F6-725B4037E919}</author>
    <author>tc={3C9C20F4-6F17-4170-8F70-AD9F92F4F0DB}</author>
    <author>tc={6AC22B48-F5F7-4EF4-8921-AFCE4410F0A7}</author>
    <author>tc={E8DDEDF3-F747-4FC1-99E0-8AA7C4452E7E}</author>
    <author>tc={FE52AFEF-A40D-4EA1-9554-54EA1EDC5CEA}</author>
    <author>tc={6A06D338-A302-C14D-AD68-C55F96DAC937}</author>
    <author>tc={7390BA02-84A3-460D-824D-C1C4C95400DB}</author>
    <author>tc={2C7C18E9-9445-464A-A26C-42B29B33E317}</author>
    <author>tc={AAA80C4E-2971-42CC-8528-87C27B9E056F}</author>
    <author>Ruben Crismariu</author>
    <author>tc={2D1A5B3D-8BA6-41D0-8C1A-1C242B14F94D}</author>
    <author>tc={16D60315-31D4-45EB-BB9A-72246DF1C219}</author>
    <author>tc={C575B263-8DFC-47C2-AFEA-7F93838F87FA}</author>
    <author>tc={320A136F-3888-4843-BB29-DDB20EE5A2D8}</author>
    <author>Monica Johlic</author>
    <author>tc={1DFE6C16-B6B5-544C-903B-F0A260A82B9A}</author>
    <author>tc={F05A1553-BAE9-4A9B-BF2B-7738E4EB8C92}</author>
    <author>tc={40C1DE3E-E1B0-4E47-A2C9-2417F310E789}</author>
  </authors>
  <commentList>
    <comment ref="I2" authorId="0" shapeId="0" xr:uid="{FBB7AAA0-017E-4131-9BF4-DD7F66B0439B}">
      <text>
        <r>
          <rPr>
            <sz val="12"/>
            <color theme="1"/>
            <rFont val="Aptos Narrow"/>
            <family val="2"/>
            <scheme val="minor"/>
          </rPr>
          <t>Bob Baird: Lots of team PTO taken in Sep that wasn't included in planning</t>
        </r>
      </text>
    </comment>
    <comment ref="K2" authorId="1" shapeId="0" xr:uid="{B61C7AFA-B746-4159-BBF9-AC92D96FD902}">
      <text>
        <t xml:space="preserve">[Threaded comment]
Your version of Excel allows you to read this threaded comment; however, any edits to it will get removed if the file is opened in a newer version of Excel. Learn more: https://go.microsoft.com/fwlink/?linkid=870924
Comment:
    @Austin Hunter @Bob Baird what drove the decrease in sprint predicatbility?
Reply:
    @Dan Schiff We had a handful of issues added to the sprints which increased the scope and ultimately decreased our predictability. Focusing this on only added necessary items this sprint
Reply:
    as well as the Nov onsite which we didn't do a 1-week sprint for, so only had half a sprint on that one.   </t>
      </text>
    </comment>
    <comment ref="O2" authorId="2" shapeId="0" xr:uid="{D5D68B15-1865-4976-B2C9-7942B56623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@Austin Hunter @Stephen Hubbard halfway through your action plan here and not seeing an increase in predictability. Any insight into what’s going well or not here?
Reply:
    We were sprint planning during grooming which was not showing signs of great benefit. This week I've decided to break that meeting out into a separate time block to drive more thoughtful selection. April might have been an aggressive date to hit, but I'm hopeful that this new meeting will have a positive impact</t>
      </text>
    </comment>
    <comment ref="D10" authorId="3" shapeId="0" xr:uid="{293A1DC0-83E8-4DAC-AC04-310BCAA41795}">
      <text>
        <t>[Threaded comment]
Your version of Excel allows you to read this threaded comment; however, any edits to it will get removed if the file is opened in a newer version of Excel. Learn more: https://go.microsoft.com/fwlink/?linkid=870924
Comment:
    https://paylocity.atlassian.net/issues/?jql=parent%3DREC-1976%20ORDER%20BY%20created%20ASC%2C%20rank</t>
      </text>
    </comment>
    <comment ref="K10" authorId="4" shapeId="0" xr:uid="{63124B56-1C46-4782-B025-184C3604DF21}">
      <text>
        <t xml:space="preserve">[Threaded comment]
Your version of Excel allows you to read this threaded comment; however, any edits to it will get removed if the file is opened in a newer version of Excel. Learn more: https://go.microsoft.com/fwlink/?linkid=870924
Comment:
    @Austin Hunter @Bob Baird what caused the increase in PDRs? Was it tied to a release?
Reply:
    We haven't identified a release correlation yet. These appear to be isolated issues reported at different times. Looking more into this now
Reply:
    It's not obvious as to how long these problems have been around, they might have been problems that haven't been reported before. Citrus changes have been the biggest contributor of bugs for us recently which 2 of these PDRs could be related. </t>
      </text>
    </comment>
    <comment ref="O10" authorId="5" shapeId="0" xr:uid="{B78890CE-3469-4264-A708-4F67DA739F8E}">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@Austin Hunter @Stephen Hubbard this is  a “large” number for R&amp;R. Any theme or pattern? Are these related to recent releases?
Reply:
    These are random bugs that are unrelated to any particular release. Strange edge cases and one unrelated to our product. My PO is working on staying on top of salesforce pdrs so I expect this month to have a couple as well. </t>
      </text>
    </comment>
    <comment ref="J16" authorId="6" shapeId="0" xr:uid="{27E5D0EC-C062-FE4C-85A5-A8489ABC7756}">
      <text>
        <t xml:space="preserve">[Threaded comment]
Your version of Excel allows you to read this threaded comment; however, any edits to it will get removed if the file is opened in a newer version of Excel. Learn more: https://go.microsoft.com/fwlink/?linkid=870924
Comment:
    @Bob Baird any insight into the drop off from last sprint? 
Reply:
    Q1 ended in Sep at 100% completed commitments for the quarter.  Q2 started/reset in October and we've completed 20% of the Q2 commitments already in Oct.  </t>
      </text>
    </comment>
    <comment ref="J23" authorId="7" shapeId="0" xr:uid="{0278C716-0407-4A22-9DF1-A31D4D1AD35A}">
      <text>
        <t xml:space="preserve">[Threaded comment]
Your version of Excel allows you to read this threaded comment; however, any edits to it will get removed if the file is opened in a newer version of Excel. Learn more: https://go.microsoft.com/fwlink/?linkid=870924
Comment:
    "Unfortunately, your team submitted fewer than 3 responses for this survey, so detailed results are not available." - Next quarterly DevEx survey will be done in a retro as a team
</t>
      </text>
    </comment>
    <comment ref="O34" authorId="8" shapeId="0" xr:uid="{5F1CF122-D84A-49AD-8CF9-31F433EB0F6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@Austin Hunter @Stephen Hubbard not sure if this tells us much of anything but given the big jump, just curious if there’s anything you know of that’s driving it?
Reply:
    Comments have been elevated on our new SE's PR's so this is what I would attribute that to. He's getting a lot of good feedback</t>
      </text>
    </comment>
    <comment ref="K41" authorId="9" shapeId="0" xr:uid="{AE802718-D209-4018-A06C-D330D9CFF5A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@Bob Baird what caused the increase in unplanned work in Nov?
Reply:
    An increase in DBA Top 10 tickets, team city deprecated agent work, and maintenance items this month. We also had the 1 week sprint during Thanksgiving where we only worked on tech debt and maintenance items. </t>
      </text>
    </comment>
    <comment ref="O41" authorId="10" shapeId="0" xr:uid="{9C89181D-C23C-443D-9D39-B0E8432148B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@Jenny Weaver  insight into this increase?
Reply:
    We had more tech debt stories we worked on this month, DBA Top 10s in particular and also closed a few AppSec stories. The epics for that work is labeled as unplanned</t>
      </text>
    </comment>
    <comment ref="O48" authorId="11" shapeId="0" xr:uid="{13698C37-6222-4173-9103-C7977F3D951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@Jenny Weaver  Nice ratio of create:resolved! Was this due to last month’s action plan?
Reply:
    Yup along with the PDR team closing out a significant amount of PDRs this month. </t>
      </text>
    </comment>
    <comment ref="K53" authorId="12" shapeId="0" xr:uid="{AA6BB827-E35E-49BE-A6B6-CFEF3F42CEE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@Bob Baird  this seems to fluctuate. Is there any underlying theme here?
Reply:
    Jira hygiene was one issue, we had two epics that had all the work done but the status was not updated to done. That and me gathering the metric correctly now (Before I was caoturing complete and in flight due to misunderstanding how to capture this metric )
Reply:
    Commitment % is a quarterly metric, so every 3 months it'll go from 0 to 100 (or thereabouts theoretically) to reflect the progress in our quarterly say/do.  Every 3 months it should reset back to zero in theory.  last quarter ended with 85.7 (weird number) of the quarterly goals completed, then we start the next quarter out at zero for the next set of quarterly goals - in this case 40% of that next quarter goals were completed in the first month, another 20 next month (nov), should be 100 in Dec (in theory), than back to zero in Jan. </t>
      </text>
    </comment>
    <comment ref="M53" authorId="13" shapeId="0" xr:uid="{1931F5A7-DFFC-4FDF-ADA0-15DFDD6649B3}">
      <text>
        <t xml:space="preserve">[Threaded comment]
Your version of Excel allows you to read this threaded comment; however, any edits to it will get removed if the file is opened in a newer version of Excel. Learn more: https://go.microsoft.com/fwlink/?linkid=870924
Comment:
    We are 100% in progress but for the 2 committed epics the goal is close as many bugs and PDRs as possible. We likely won't see this commitment percentage change until the end of the quarter. </t>
      </text>
    </comment>
    <comment ref="O73" authorId="14" shapeId="0" xr:uid="{2D82A5C6-CA35-49E0-8770-09DC767265A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@Jenny Weaver Action items should target one of the metric areas and have a quantitative target. i.e. what outcome do you expect from improved story readiness and reduced dependencies? Better sprint predictatility, lower cycle times?
Reply:
    I can rewrite this, we should in theory see lower cycle times. 
Reply:
    @Trevor Romey can you add a cycle time target?</t>
      </text>
    </comment>
    <comment ref="J76" authorId="15" shapeId="0" xr:uid="{5F0B5A7D-5C2C-B846-9536-AA5C3E2D236C}">
      <text>
        <t xml:space="preserve">[Threaded comment]
Your version of Excel allows you to read this threaded comment; however, any edits to it will get removed if the file is opened in a newer version of Excel. Learn more: https://go.microsoft.com/fwlink/?linkid=870924
Comment:
    @Jose Basilio @Bob Baird Wondering why the Sprint Predictability has been dropping over the last 3 sprints. </t>
      </text>
    </comment>
    <comment ref="O76" authorId="16" shapeId="0" xr:uid="{B9863965-9074-4CB8-BEBD-DB9242D9EB9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Predictability went down as we were attacking bug tickets dynamically to meet our Q3 goal.
Reply:
    Thanks @Jose Basilio approximately where would you expect this to land next month?
Reply:
    And congrats on hitting your Q3 commitment!
Reply:
    I expect that in April, we’ll go back over 80%.</t>
      </text>
    </comment>
    <comment ref="I77" authorId="17" shapeId="0" xr:uid="{5FA2D061-A03B-4497-AA83-84ECF349B758}">
      <text>
        <t xml:space="preserve">[Threaded comment]
Your version of Excel allows you to read this threaded comment; however, any edits to it will get removed if the file is opened in a newer version of Excel. Learn more: https://go.microsoft.com/fwlink/?linkid=870924
Comment:
    We have some spike tickets that were not moved to done, and rolled over sprints. This skewed the numbers.
Reply:
    Can we ensure this doesn't happen again? </t>
      </text>
    </comment>
    <comment ref="O82" authorId="18" shapeId="0" xr:uid="{768C008D-E8FE-466E-A170-B11D5632336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 Basilio @Jenny Weaver I know of the two Sev3 incidents over the last couple months, what’s the third one? Was that just one that impacted Recruiting?
Reply:
    I entered this wrong. There were only 2. One was in February, and the other in March.</t>
      </text>
    </comment>
    <comment ref="O104" authorId="19" shapeId="0" xr:uid="{62BF2DF1-3ED4-41BE-AD61-A99AD2CBE1B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@Jose Basilio @Jenny Weaver big jump here and in PRs merged in the last couple months. Is there something you all did to increase this velocity?
Reply:
    We had smaller bug tickets created as issues were found during the testing of the Candidate Profile epic.</t>
      </text>
    </comment>
    <comment ref="I109" authorId="20" shapeId="0" xr:uid="{F804C860-8AA6-4E7F-921A-4728656EAFDB}">
      <text>
        <t>[Threaded comment]
Your version of Excel allows you to read this threaded comment; however, any edits to it will get removed if the file is opened in a newer version of Excel. Learn more: https://go.microsoft.com/fwlink/?linkid=870924
Comment:
    Started work on some new Epics that carried over to next sprint.  Impacted this metric.</t>
      </text>
    </comment>
    <comment ref="J109" authorId="21" shapeId="0" xr:uid="{86EB280F-6A8D-5B4E-94FE-E06C99FE5900}">
      <text>
        <t>[Threaded comment]
Your version of Excel allows you to read this threaded comment; however, any edits to it will get removed if the file is opened in a newer version of Excel. Learn more: https://go.microsoft.com/fwlink/?linkid=870924
Comment:
    @Cory Miller @Bob Baird Interested in what is driving the sprint predictability to 53%
Reply:
    My guess is it grabbed all the sprints in Oct and avg'd them - but I did go do math and it came out to 68% ((20.4+100+84.4) /3) so I'm not 100% sure.  But I do believe it is an aggregate score for the month, where indv sprints give the exact number for that particular sprint.
Reply:
    @Scott Jucovics I found the definition in Jellyfish: 'percentage of story points that were committed to a sprint and completed during the sprint for all completed sprints in Oct 2025'.  What's weird is it didn't include the latest sprint we just wrapped up last Friday.  That sprint would increase this number.</t>
      </text>
    </comment>
    <comment ref="K109" authorId="22" shapeId="0" xr:uid="{94CC17B5-C33A-4A9B-B358-81C14116B5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@Bob Baird This is a nice uptick! Was there anything the team did to drive this change?</t>
      </text>
    </comment>
    <comment ref="O110" authorId="23" shapeId="0" xr:uid="{C00FEC15-A220-4C8D-AFD8-467725CA443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@Jenny Weaver anything you all did to drive this down, or more likely an anomaly?
Reply:
    For Innovation side, this is likely a result of how the work was broken down.  Ben and team spent a lot of hours breaking things into bite-sized tasks, which allows them to go from start-&gt;done quicker.
Reply:
    Thanks. Would be good to keep an eye on this and if the trend continues, share out some lessons learned with your colleagues</t>
      </text>
    </comment>
    <comment ref="O179" authorId="24" shapeId="0" xr:uid="{2EDC5A13-7939-43DA-9F67-FA9DA59D39B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@Bryan Prendergast @Stephen Hubbard did Feb’s action plan result in this increase? No action plan for predictability this month?
Reply:
    Yes. We have made progress on Sprint predictability. Yet I don't want to push the team further in terms of restricting the number tickets they want to take in to even fewer. Gettig to the point of just gaming the system. The team has a tendency towards stretch goals in general with pulling in tickets and I don't see this as a bad thing.
Reply:
    @Bryan Prendergast  Thanks, obviously it’s a balance, but I would shoot for that 80% range as a target</t>
      </text>
    </comment>
    <comment ref="J181" authorId="25" shapeId="0" xr:uid="{7B0BA672-0494-654C-9C8D-F2B9D5F10B16}">
      <text>
        <t>[Threaded comment]
Your version of Excel allows you to read this threaded comment; however, any edits to it will get removed if the file is opened in a newer version of Excel. Learn more: https://go.microsoft.com/fwlink/?linkid=870924
Comment:
    @Bryan Prendergast @Stephen Hubbard What drives the Unplanned work to 64%
Reply:
    Seems at odds with the 80% sprint predictability?
Reply:
    The new Healthcare Training Bundle tickets were there at start of the sprint (predictable), yet this project /epic was 'unplanned' work.</t>
      </text>
    </comment>
    <comment ref="O181" authorId="26" shapeId="0" xr:uid="{37079D49-756A-4EF4-BA45-5BC181462A5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@Bryan Prendergast @Stephen Hubbard steady downward trend here. Was there anything in particular you all did to drive this down?
Reply:
    We started planning to work on up to three PDR bugs per Sprint. If we were to go beyond this it would be "Unplanned".</t>
      </text>
    </comment>
    <comment ref="K193" authorId="27" shapeId="0" xr:uid="{85ACC69E-BEE8-41A4-8882-B85E61A6541A}">
      <text>
        <t>[Threaded comment]
Your version of Excel allows you to read this threaded comment; however, any edits to it will get removed if the file is opened in a newer version of Excel. Learn more: https://go.microsoft.com/fwlink/?linkid=870924
Comment:
    @Bryan Prendergast @Stephen Hubbard What drove this change? Seems like 100% has been the norm
Reply:
    For Q2 we have 2 initiatives Done and 2 in Dev Complete that should move to Done in December. So December will be 100. I think I just misunderstood what Commitment % metric was back in October. Should have been 50 then likely. Read Shital Patel's details on this metric and so now am capturing accurately for November.</t>
      </text>
    </comment>
    <comment ref="K206" authorId="28" shapeId="0" xr:uid="{340F5190-5C02-4B84-B281-6F63FED61917}">
      <text>
        <t>[Threaded comment]
Your version of Excel allows you to read this threaded comment; however, any edits to it will get removed if the file is opened in a newer version of Excel. Learn more: https://go.microsoft.com/fwlink/?linkid=870924
Comment:
    @Bryan Prendergast @Stephen Hubbard Anything driving this lower month over month?
Reply:
    My guess has been that the PR reviews and merges were lower in November just due to the onsite and Thanksgiving holiday. Likely the team was a little less engaged due to these events and a little less work was merged.</t>
      </text>
    </comment>
    <comment ref="O212" authorId="29" shapeId="0" xr:uid="{03DF81B8-1468-45D2-9488-872129B913E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@Bryan Prendergast @Stephen Hubbard I would rethink this one. Goal is to implement process improvements to improve something ongoing, not just a one-time thing. E.g. maybe goal is to improve the created:resolved ratio (see some of the other teams who have targeted that)
Reply:
    Done</t>
      </text>
    </comment>
    <comment ref="O216" authorId="30" shapeId="0" xr:uid="{4F12BE59-168D-4EFF-9481-47B9AB7A0FB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@David Ewing @Stephen Hubbard anything you all are doing to try to increase predictability? Surprised to not see an action plan around this.
Reply:
    I’ve added an action plan.</t>
      </text>
    </comment>
    <comment ref="K218" authorId="31" shapeId="0" xr:uid="{C1A8FC97-1BD7-43AF-86F6-725B4037E919}">
      <text>
        <t>[Threaded comment]
Your version of Excel allows you to read this threaded comment; however, any edits to it will get removed if the file is opened in a newer version of Excel. Learn more: https://go.microsoft.com/fwlink/?linkid=870924
Comment:
    @David Ewing @Stephen Hubbard  what drove this up in November?
Reply:
    The issues discovered when building the custom questions feature and the usability issues with Survey Instance Filters.  Some were bugs, and others were requirement changes to make the customer experience better.</t>
      </text>
    </comment>
    <comment ref="O218" authorId="32" shapeId="0" xr:uid="{3C9C20F4-6F17-4170-8F70-AD9F92F4F0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@David Ewing @Stephen Hubbard was there anything in particular you all have done to drive down unplanned work in recent months?
Reply:
    We aligned our definition of Unplanned work.  Unplanned is reserved for work we didn’t plan on doing after a sprint starts.  Unplanned work includes tasks we need to accomplish that were not part of our quarterly timeline.</t>
      </text>
    </comment>
    <comment ref="K230" authorId="33" shapeId="0" xr:uid="{6AC22B48-F5F7-4EF4-8921-AFCE4410F0A7}">
      <text>
        <t>[Threaded comment]
Your version of Excel allows you to read this threaded comment; however, any edits to it will get removed if the file is opened in a newer version of Excel. Learn more: https://go.microsoft.com/fwlink/?linkid=870924
Comment:
    @David Ewing @Stephen Hubbard commitment pctg seems to fluctuate quite a bit month over month. Is the team doing anything to try to stabilize?
Reply:
    This is expected, the goal is 100% by the end of the quarter.</t>
      </text>
    </comment>
    <comment ref="O254" authorId="34" shapeId="0" xr:uid="{E8DDEDF3-F747-4FC1-99E0-8AA7C4452E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@Stephen Hubbard very nice sprint predictability over the last three months. Anything you all have been doing to drive this?
Reply:
    2 things, closely look at scheduled PTO for upcoming sprint and account for people being out.  Changed sprint planning to look at the work for each individual rather than look at work for the whole team.</t>
      </text>
    </comment>
    <comment ref="K255" authorId="35" shapeId="0" xr:uid="{FE52AFEF-A40D-4EA1-9554-54EA1EDC5CE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@Stephen Hubbard why the Cycle Time jump in Nov? Is the team doing anything to try to stabilize this?
Reply:
    i looked at the cycle time for Oct and Nov and did a compare.
Some things that impacted the cycle time.
For Oct: (quick turnarounds)
Started a process where on call person creates a ticket for all asks/requests that come in so that we can better track this type of work. Most of these tickets are quickly resolved same day and closed out with notes.
had 2 appsec tickets that were pulled into the sprint and moved to done as no work was needed
had a few quick STE (automation stories) completed same day.
For Nov: (stories took longer)
In Nov. we had significantly more PTO, leaving stories in progress for longer periods of time than usual. (expecting same trend in Dec.)</t>
      </text>
    </comment>
    <comment ref="J256" authorId="36" shapeId="0" xr:uid="{6A06D338-A302-C14D-AD68-C55F96DAC937}">
      <text>
        <t>[Threaded comment]
Your version of Excel allows you to read this threaded comment; however, any edits to it will get removed if the file is opened in a newer version of Excel. Learn more: https://go.microsoft.com/fwlink/?linkid=870924
Comment:
    @Ruben Crismariu @Stephen Hubbard What is driving the high percentage of unplanned work? 
Reply:
    In October we found out that we had to update FileClient in order to avoid a potential MIN.  This took 2 weeks and was unplanned</t>
      </text>
    </comment>
    <comment ref="K262" authorId="37" shapeId="0" xr:uid="{7390BA02-84A3-460D-824D-C1C4C95400D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@Stephen Hubbard Seeing a trend up for PDRs - what is driving this? Is it tied to a release?
Reply:
    Reviewed the 11 PDR's with product and with the exception of 1 PDR which was due to our workengine getting stuck, the remaining 10 were old issues not related to any recent releases.  Looking back 12 months our monthly average is 7 PDR's</t>
      </text>
    </comment>
    <comment ref="O263" authorId="38" shapeId="0" xr:uid="{2C7C18E9-9445-464A-A26C-42B29B33E317}">
      <text>
        <t>[Threaded comment]
Your version of Excel allows you to read this threaded comment; however, any edits to it will get removed if the file is opened in a newer version of Excel. Learn more: https://go.microsoft.com/fwlink/?linkid=870924
Comment:
    @Ruben Crismariu @Stephen Hubbard  Nice to see the ratio flipped here! 
Reply:
    yes, made an effort to focus on closing out PDR's.</t>
      </text>
    </comment>
    <comment ref="O268" authorId="39" shapeId="0" xr:uid="{AAA80C4E-2971-42CC-8528-87C27B9E056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@Stephen Hubbard should be 100% no?
Reply:
    updated</t>
      </text>
    </comment>
    <comment ref="G271" authorId="40" shapeId="0" xr:uid="{1A470EB8-1D54-4845-98E6-7AC7108B6F89}">
      <text>
        <r>
          <rPr>
            <sz val="12"/>
            <color theme="1"/>
            <rFont val="Aptos Narrow"/>
            <family val="2"/>
            <scheme val="minor"/>
          </rPr>
          <t>Ruben Crismariu:
Bug bash sprint</t>
        </r>
      </text>
    </comment>
    <comment ref="K271" authorId="40" shapeId="0" xr:uid="{9B7FB787-EC28-4690-88A5-51AE105F0125}">
      <text>
        <r>
          <rPr>
            <sz val="12"/>
            <color theme="1"/>
            <rFont val="Aptos Narrow"/>
            <family val="2"/>
            <scheme val="minor"/>
          </rPr>
          <t>Ruben Crismariu:
At the start of the month we paused feature work and focused on PDR's/Year End Readiness</t>
        </r>
      </text>
    </comment>
    <comment ref="G276" authorId="40" shapeId="0" xr:uid="{8F774FF5-A7BB-4F96-BD64-AE16F0E6F621}">
      <text>
        <r>
          <rPr>
            <sz val="12"/>
            <color theme="1"/>
            <rFont val="Aptos Narrow"/>
            <family val="2"/>
            <scheme val="minor"/>
          </rPr>
          <t>Ruben Crismariu:
Low score in: Our team is spread too thin, given everything we are responsible for</t>
        </r>
      </text>
    </comment>
    <comment ref="H276" authorId="40" shapeId="0" xr:uid="{848CEF9A-809A-429F-9319-D9F322735674}">
      <text>
        <r>
          <rPr>
            <sz val="12"/>
            <color theme="1"/>
            <rFont val="Aptos Narrow"/>
            <family val="2"/>
            <scheme val="minor"/>
          </rPr>
          <t>Ruben Crismariu:
Low score in: Our team is spread too thin, given everything we are responsible for</t>
        </r>
      </text>
    </comment>
    <comment ref="G278" authorId="40" shapeId="0" xr:uid="{C5847AC9-A9CE-4519-8AAC-E6B8CB929C63}">
      <text>
        <r>
          <rPr>
            <sz val="12"/>
            <color theme="1"/>
            <rFont val="Aptos Narrow"/>
            <family val="2"/>
            <scheme val="minor"/>
          </rPr>
          <t>Ruben Crismariu:
Low score in: Our tech debt is growing at a concerning rate</t>
        </r>
      </text>
    </comment>
    <comment ref="H278" authorId="40" shapeId="0" xr:uid="{4ACB3DDF-C84E-418E-BA94-373BC08D65DD}">
      <text>
        <r>
          <rPr>
            <sz val="12"/>
            <color theme="1"/>
            <rFont val="Aptos Narrow"/>
            <family val="2"/>
            <scheme val="minor"/>
          </rPr>
          <t>Ruben Crismariu:
Low score in: Our tech debt is growing at a concerning rate</t>
        </r>
      </text>
    </comment>
    <comment ref="O286" authorId="41" shapeId="0" xr:uid="{2D1A5B3D-8BA6-41D0-8C1A-1C242B14F94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@Stephen Hubbard steady uptick here over the last two months. Was this because of Dan Santimore’s addition to the team?
Reply:
    i would say that is one reason, the team also communicates more in PR's</t>
      </text>
    </comment>
    <comment ref="K291" authorId="42" shapeId="0" xr:uid="{16D60315-31D4-45EB-BB9A-72246DF1C21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Johlic @Stephen Hubbard is something driving the downward trend for predictability?
Reply:
    There were 2 main factors.
1. We finally got access to salary.com and we pivoted mid sprint to do the work that had been blocked. We wanted to ensure our assumptions were correct and some were and some were not and we have to make changes.
2. I got a new SSE and STE and I am still onboarding and adjusting my sprint estimates based on how quick they are getting up to speed.  </t>
      </text>
    </comment>
    <comment ref="O291" authorId="43" shapeId="0" xr:uid="{C575B263-8DFC-47C2-AFEA-7F93838F87F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Johlic  @Stephen Hubbard any specific actions that led to this jump? Was it the action plan from Feb?
Reply:
    We found out that we needed to leave more space for prod issues, onboarding and planning. We planned with that in mind. Also, the work that we were doing had less unknowns and for the ones we had working with other teams, we were prepare with a plan. 
Reply:
    @Monica Johlic nice! Do you think it will remain this high, dip back down to the 75%-ish range or somewhere in between?
Reply:
    Something in between but still keeping the 80%-85% target. I am still learning Malik’s velocity, and I want to be careful not to burn out the team. </t>
      </text>
    </comment>
    <comment ref="O299" authorId="44" shapeId="0" xr:uid="{320A136F-3888-4843-BB29-DDB20EE5A2D8}">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Johlic @Stephen Hubbard seeing an uptick the last couple months. Any themes or trends here? Was this related to any recent releases?
Reply:
    This is more related to a release in July, but clients didn’t have the opportunity to use the application until our pick time. There have been several edge cases. One-off configuration and other factors that we didn’t consider. We are creating test cases to ensure testing in the future. </t>
      </text>
    </comment>
    <comment ref="G308" authorId="45" shapeId="0" xr:uid="{68444044-C2D6-4802-B076-1C6F9753DD99}">
      <text>
        <r>
          <rPr>
            <sz val="12"/>
            <color theme="1"/>
            <rFont val="Aptos Narrow"/>
            <family val="2"/>
            <scheme val="minor"/>
          </rPr>
          <t>Monica Johlic:
Bug bash sprint</t>
        </r>
      </text>
    </comment>
    <comment ref="J308" authorId="46" shapeId="0" xr:uid="{1DFE6C16-B6B5-544C-903B-F0A260A82B9A}">
      <text>
        <t xml:space="preserve">[Threaded comment]
Your version of Excel allows you to read this threaded comment; however, any edits to it will get removed if the file is opened in a newer version of Excel. Learn more: https://go.microsoft.com/fwlink/?linkid=870924
Comment:
    @Monica Johlic @Stephen Hubbard What is driving the high percentage of Maintenance? 
Reply:
    We have addressed several PDRs that were previously scheduled for resolution as part of the currency work that was deprioritized. Also, we created tickets to align with the qase standards. Those get counted even if we don’t do the work. </t>
      </text>
    </comment>
    <comment ref="K309" authorId="45" shapeId="0" xr:uid="{77B96E8D-3847-444B-87A1-8A975FA139E1}">
      <text>
        <r>
          <rPr>
            <sz val="12"/>
            <color theme="1"/>
            <rFont val="Aptos Narrow"/>
            <family val="2"/>
            <scheme val="minor"/>
          </rPr>
          <t>Monica Johlic:
Onboarding of a new SSE and STE.
Enterprise solution planning</t>
        </r>
      </text>
    </comment>
    <comment ref="O313" authorId="47" shapeId="0" xr:uid="{F05A1553-BAE9-4A9B-BF2B-7738E4EB8C9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Johlic @Stephen Hubbard interesting upward trend here! What do you attribute this to? Any specific actions taken? 
Reply:
    I don’t believe anything was done intentionally for this. We are always looking at how to improve.</t>
      </text>
    </comment>
    <comment ref="O324" authorId="48" shapeId="0" xr:uid="{40C1DE3E-E1B0-4E47-A2C9-2417F310E78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@Monica Johlic @Stephen Hubbard missing action items?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tc={AC022D2A-F92F-4878-878B-EE0D42BE0087}</author>
    <author>tc={CB7348E9-92F5-449C-8370-72C64B78DFDA}</author>
    <author>tc={CE80E115-6A65-4F51-9641-55C0085DD11B}</author>
    <author>Monica Johlic</author>
    <author>tc={8C3CB82E-597F-4E68-A799-166DE1C4748B}</author>
    <author>tc={462FE3C0-D69F-4A32-83EC-748A2F9F3ABD}</author>
    <author>tc={5FFA3F40-A843-4251-A382-058131C99A79}</author>
    <author>tc={00B6BF08-D01B-4119-AB50-1E404EB172E5}</author>
    <author>tc={CD57C4AA-3658-9F4F-AB9F-906710AD7F5E}</author>
    <author>tc={E86BF0D1-74A3-4E18-AE30-EB91BA0814B6}</author>
    <author>tc={DA9A5F7A-ECF9-4033-8BBA-0EB69D161254}</author>
    <author>tc={58411DC1-7733-429B-8E90-FF0B40657D20}</author>
    <author>tc={D11DF399-3FF8-4EDC-B476-7B971372A944}</author>
    <author>tc={FA0B302A-1B17-41D5-808B-3A2EF5B8864A}</author>
    <author>Ruben Crismariu</author>
    <author>tc={08A584A1-96DA-492D-99A9-0E9386EF5C81}</author>
    <author>tc={58FACE01-9815-43A2-A5EB-9288C16E3FAA}</author>
    <author>tc={DCEC4B60-BA81-46A8-AD8D-5F7C2239200E}</author>
    <author>tc={6940C7D2-EDBA-4D0B-9654-753CF3759F7D}</author>
    <author>tc={E72BB7A5-A575-4077-99FC-22EE65C51B50}</author>
    <author>tc={969E49B8-78E9-4FFA-B41D-149D6357ED2E}</author>
    <author>tc={95B9C21D-EB3A-46D1-ABDC-39AB7E04C1F1}</author>
    <author>tc={0BE3E88B-AF7D-4EB1-A493-B2269AE547AF}</author>
    <author>tc={7B9AB748-8D2F-4DEA-81D4-04AF6A934EE0}</author>
    <author>tc={494CE377-DA14-4CFC-9C95-A553A7B8C750}</author>
    <author>tc={86BEFC1A-E94B-481C-9037-0F365904AE20}</author>
    <author>tc={53766872-3629-4122-A605-A708398FE90F}</author>
    <author>tc={BB16A7BA-8BC0-438A-A54A-44C689DD69D3}</author>
    <author>tc={1827FD37-CD01-4BD1-AB53-AC8A55B1970B}</author>
    <author>tc={70758138-3D92-47A8-A332-7E5CDD0DC11C}</author>
    <author>tc={E72E5BED-B835-46D7-BCFB-E7CF399F9BE9}</author>
    <author>tc={ED0DFA60-7E5F-4FE9-9E3F-27E5DFE06AE1}</author>
    <author>tc={83A1CAEB-A3F1-42A4-9A01-48DDA4C9FECF}</author>
    <author>tc={8E00BA08-8B6B-4A44-9889-21039BD31BB5}</author>
    <author>tc={69851D30-4677-4D74-9510-34BAAF4238F3}</author>
    <author>tc={393F268D-F355-4E32-8F1E-104E3CA9BB55}</author>
    <author>tc={77DC1597-496D-4C3E-91BF-3953823C3672}</author>
    <author>tc={6C9A88D3-1502-49B3-9EE4-F5BAFC59DE74}</author>
    <author>tc={90A0140A-4E53-467A-A38D-C776CC20A3AB}</author>
  </authors>
  <commentList>
    <comment ref="N4" authorId="0" shapeId="0" xr:uid="{AC022D2A-F92F-4878-878B-EE0D42BE0087}">
      <text>
        <t>[Threaded comment]
Your version of Excel allows you to read this threaded comment; however, any edits to it will get removed if the file is opened in a newer version of Excel. Learn more: https://go.microsoft.com/fwlink/?linkid=870924
Comment:
    @Bryan Prendergast @Stephen Hubbard Do we know why the unplanned work keeps risking over the past 4 sprints?
Reply:
    Some of this is due to pivoting to the Healthcare Training bundle project. Other is likely just related to a couple PDRs and higher priority tech debt tickets that were pulled-in, I am guessing.
Reply:
    We also met with a customer and received feedback that led to new tickets.</t>
      </text>
    </comment>
    <comment ref="R4" authorId="1" shapeId="0" xr:uid="{CB7348E9-92F5-449C-8370-72C64B78DFD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@Bryan Prendergast This continues to feel pretty high.  Are the bugs and tech debt you mention below part of the overall "maintenance" epic/initiative?  (If so, maybe the epic should be marked as "planned" since we do plan to take on small issues as they come up.)  Or are these must-have bugs fixes that interrupted existing work?
Reply:
    Will look into adjusting the work type for certain H2 epics.</t>
      </text>
    </comment>
    <comment ref="Q12" authorId="2" shapeId="0" xr:uid="{CE80E115-6A65-4F51-9641-55C0085DD11B}">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 think this should be 100%, but I left a comment on the Commitment Percentage wiki page (https://paylocity.atlassian.net/wiki/spaces/EN/pages/1742733772/Commitment).  
The instructions say to get the number from items in "Done," but I believe we also want to include items in Dev Complete.
@Bryan Prendergast </t>
      </text>
    </comment>
    <comment ref="N26" authorId="3" shapeId="0" xr:uid="{09E3B335-C8C3-447E-B40B-1E8540460A4D}">
      <text>
        <r>
          <rPr>
            <sz val="12"/>
            <color theme="1"/>
            <rFont val="Aptos Narrow"/>
            <family val="2"/>
            <scheme val="minor"/>
          </rPr>
          <t xml:space="preserve">Monica Johlic:
Onsite
</t>
        </r>
      </text>
    </comment>
    <comment ref="N27" authorId="3" shapeId="0" xr:uid="{A6E45FAB-75FF-4228-BB81-5004FCAC44CA}">
      <text>
        <r>
          <rPr>
            <sz val="12"/>
            <color theme="1"/>
            <rFont val="Aptos Narrow"/>
            <family val="2"/>
            <scheme val="minor"/>
          </rPr>
          <t>Monica Johlic:
Some changes were done to tickets that will be addressed in the future that are not planned yet.</t>
        </r>
      </text>
    </comment>
    <comment ref="U27" authorId="4" shapeId="0" xr:uid="{8C3CB82E-597F-4E68-A799-166DE1C4748B}">
      <text>
        <t>[Threaded comment]
Your version of Excel allows you to read this threaded comment; however, any edits to it will get removed if the file is opened in a newer version of Excel. Learn more: https://go.microsoft.com/fwlink/?linkid=870924
Comment:
    PDRs</t>
      </text>
    </comment>
    <comment ref="M35" authorId="5" shapeId="0" xr:uid="{462FE3C0-D69F-4A32-83EC-748A2F9F3ABD}">
      <text>
        <t>[Threaded comment]
Your version of Excel allows you to read this threaded comment; however, any edits to it will get removed if the file is opened in a newer version of Excel. Learn more: https://go.microsoft.com/fwlink/?linkid=870924
Comment:
    @Monica Johlic @Stephen Hubbard is this accurate?  I thought this was a monthly/quarterly value based on our Say/Do
Reply:
    This is on the epic level. It would be a good question for Shital if we don’t want to record by sprint; maybe we can remove it from the spreadsheet. I use this dashboard: https://paylocity.atlassian.net/jira/dashboards/11802</t>
      </text>
    </comment>
    <comment ref="F36" authorId="6" shapeId="0" xr:uid="{5FFA3F40-A843-4251-A382-058131C99A79}">
      <text>
        <t>[Threaded comment]
Your version of Excel allows you to read this threaded comment; however, any edits to it will get removed if the file is opened in a newer version of Excel. Learn more: https://go.microsoft.com/fwlink/?linkid=870924
Comment:
    Bug bash sprint</t>
      </text>
    </comment>
    <comment ref="V39" authorId="3" shapeId="0" xr:uid="{0E3FC4D6-B82A-43C3-8828-AC888BB9AF20}">
      <text>
        <r>
          <rPr>
            <sz val="12"/>
            <color theme="1"/>
            <rFont val="Aptos Narrow"/>
            <family val="2"/>
            <scheme val="minor"/>
          </rPr>
          <t>Monica Johlic:
Onboarding Malik</t>
        </r>
      </text>
    </comment>
    <comment ref="R48" authorId="7" shapeId="0" xr:uid="{00B6BF08-D01B-4119-AB50-1E404EB172E5}">
      <text>
        <t>[Threaded comment]
Your version of Excel allows you to read this threaded comment; however, any edits to it will get removed if the file is opened in a newer version of Excel. Learn more: https://go.microsoft.com/fwlink/?linkid=870924
Comment:
    E-Verify intermittently blocking our test calls has blocked stories in the sprint from being completed. We also had a lot of team members out on PTO for the holidays</t>
      </text>
    </comment>
    <comment ref="M49" authorId="8" shapeId="0" xr:uid="{CD57C4AA-3658-9F4F-AB9F-906710AD7F5E}">
      <text>
        <t>[Threaded comment]
Your version of Excel allows you to read this threaded comment; however, any edits to it will get removed if the file is opened in a newer version of Excel. Learn more: https://go.microsoft.com/fwlink/?linkid=870924
Comment:
    @Trevor Romey @Bob Baird Wondering what is driving up the cycle time over the past 3 sprints?
Reply:
    The team has been working on longer running/ bigger stories related to E-Verify and I9 enhancements over the past 3 sprints</t>
      </text>
    </comment>
    <comment ref="O49" authorId="9" shapeId="0" xr:uid="{E86BF0D1-74A3-4E18-AE30-EB91BA0814B6}">
      <text>
        <t>[Threaded comment]
Your version of Excel allows you to read this threaded comment; however, any edits to it will get removed if the file is opened in a newer version of Excel. Learn more: https://go.microsoft.com/fwlink/?linkid=870924
Comment:
    This sprint had more 8 point stories in it. This is up due to more complex work this sprint.</t>
      </text>
    </comment>
    <comment ref="S49" authorId="10" shapeId="0" xr:uid="{DA9A5F7A-ECF9-4033-8BBA-0EB69D161254}">
      <text>
        <t>[Threaded comment]
Your version of Excel allows you to read this threaded comment; however, any edits to it will get removed if the file is opened in a newer version of Excel. Learn more: https://go.microsoft.com/fwlink/?linkid=870924
Comment:
    E-Verify issues during the sprint slowed down our cycle time due to 2 days of being blocked from connecting and testing their api</t>
      </text>
    </comment>
    <comment ref="T49" authorId="11" shapeId="0" xr:uid="{58411DC1-7733-429B-8E90-FF0B40657D20}">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Romey was this reduction due to action taken?
Reply:
    We had more low effort stories in the this sprint which reduced the cycle time for those stories. </t>
      </text>
    </comment>
    <comment ref="S58" authorId="12" shapeId="0" xr:uid="{D11DF399-3FF8-4EDC-B476-7B971372A944}">
      <text>
        <t>[Threaded comment]
Your version of Excel allows you to read this threaded comment; however, any edits to it will get removed if the file is opened in a newer version of Excel. Learn more: https://go.microsoft.com/fwlink/?linkid=870924
Comment:
    Start of a new quarter</t>
      </text>
    </comment>
    <comment ref="P61" authorId="13" shapeId="0" xr:uid="{FA0B302A-1B17-41D5-808B-3A2EF5B8864A}">
      <text>
        <t>[Threaded comment]
Your version of Excel allows you to read this threaded comment; however, any edits to it will get removed if the file is opened in a newer version of Excel. Learn more: https://go.microsoft.com/fwlink/?linkid=870924
Comment:
    One week sprint where we focused on tech debt and maintenance items during Thanksgiving week</t>
      </text>
    </comment>
    <comment ref="Q71" authorId="14" shapeId="0" xr:uid="{C7EA15FE-0C9C-4AAA-8898-2D82B009900B}">
      <text>
        <r>
          <rPr>
            <sz val="12"/>
            <color theme="1"/>
            <rFont val="Aptos Narrow"/>
            <family val="2"/>
            <scheme val="minor"/>
          </rPr>
          <t xml:space="preserve">Ruben Crismariu:
There was an issue with Jira in capturing what was included in the sprint.  Reached out to engineering-metrics and learned that when closing a sprint you should give it a few minutes before starting a new one </t>
        </r>
      </text>
    </comment>
    <comment ref="M72" authorId="15" shapeId="0" xr:uid="{08A584A1-96DA-492D-99A9-0E9386EF5C81}">
      <text>
        <t>[Threaded comment]
Your version of Excel allows you to read this threaded comment; however, any edits to it will get removed if the file is opened in a newer version of Excel. Learn more: https://go.microsoft.com/fwlink/?linkid=870924
Comment:
    Had some appsec tickets that were brought in and no longer needed to be worked on and moved to done. Also had several STE stories that were quickly moved across.</t>
      </text>
    </comment>
    <comment ref="R72" authorId="16" shapeId="0" xr:uid="{58FACE01-9815-43A2-A5EB-9288C16E3F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 Nice trend over the last several sprints!</t>
      </text>
    </comment>
    <comment ref="S72" authorId="17" shapeId="0" xr:uid="{DCEC4B60-BA81-46A8-AD8D-5F7C2239200E}">
      <text>
        <t>[Threaded comment]
Your version of Excel allows you to read this threaded comment; however, any edits to it will get removed if the file is opened in a newer version of Excel. Learn more: https://go.microsoft.com/fwlink/?linkid=870924
Comment:
    Cycle time higher due to sprint starting the week most team members were out on PTO, so stories sat longer.  But majority of stories were completed, giving us a nice sprint predictability</t>
      </text>
    </comment>
    <comment ref="T72" authorId="18" shapeId="0" xr:uid="{6940C7D2-EDBA-4D0B-9654-753CF3759F7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big reduction in cycle time! What do you attribute this to? Was there any specific action taken?
Reply:
    for the most part, it was just smaller stories and bug fixes.  One thing that we did start doing a few sprints back was for longer running stories like HLD, requirements gathering, at the end of the sprint we would close out the story and create a new Part 2 or Part 3 story rather than carrying the same story over to the next sprint.  This has helped bring this metric down.</t>
      </text>
    </comment>
    <comment ref="Q81" authorId="19" shapeId="0" xr:uid="{E72BB7A5-A575-4077-99FC-22EE65C51B50}">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 this should be 50% based on this dashboard, right?  https://paylocity.atlassian.net/jira/dashboards/11802
Looks like the remaining epic is a maintenance style one that'll be closed at the end of Q2.</t>
      </text>
    </comment>
    <comment ref="T84" authorId="20" shapeId="0" xr:uid="{969E49B8-78E9-4FFA-B41D-149D6357ED2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@Ruben Crismariu The last 2 sprints look like a very positive trend for Maintenance!  Any reason for the lower amount of RTB?  Maybe the shift to focus on stability for year-end?</t>
      </text>
    </comment>
    <comment ref="R94" authorId="21" shapeId="0" xr:uid="{95B9C21D-EB3A-46D1-ABDC-39AB7E04C1F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@David Ewing @Stephen Hubbard what happened this sprint? Were holidays/PTO not accounted for during planning?
Reply:
    KrakenD is causing issues with Tin.  The team had to resolve the issues and the result was the current work couldn’t be completed on schedule.</t>
      </text>
    </comment>
    <comment ref="T95" authorId="22" shapeId="0" xr:uid="{0BE3E88B-AF7D-4EB1-A493-B2269AE547A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@David Ewing was this reduction due to any specific action taken?
Reply:
    We won the battle with KrackenD.  Nothing specific, just following best practices, smaller ticket size and proper sprint planning.</t>
      </text>
    </comment>
    <comment ref="M103" authorId="23" shapeId="0" xr:uid="{7B9AB748-8D2F-4DEA-81D4-04AF6A934EE0}">
      <text>
        <t>[Threaded comment]
Your version of Excel allows you to read this threaded comment; however, any edits to it will get removed if the file is opened in a newer version of Excel. Learn more: https://go.microsoft.com/fwlink/?linkid=870924
Comment:
    @David Ewing @Stephen Hubbard I noticed for the last 2 sprints we haven't resolved any PDRs, I am wondering when we plan to tackle the PDR Bugs that have been identified. 
Reply:
    Our plan is to address PDRs in December.  We are focusing on getting Custom Questions and Universal Search done first.</t>
      </text>
    </comment>
    <comment ref="N117" authorId="24" shapeId="0" xr:uid="{494CE377-DA14-4CFC-9C95-A553A7B8C750}">
      <text>
        <t xml:space="preserve">[Threaded comment]
Your version of Excel allows you to read this threaded comment; however, any edits to it will get removed if the file is opened in a newer version of Excel. Learn more: https://go.microsoft.com/fwlink/?linkid=870924
Comment:
    Knowingly started this sprint with a few large stories that could have been broken down into smaller chunks as they were the last bit of one of our epics to complete, so expected some cary over there, some citrus upgrade story friction, as well as some unexpected PTO.  Citrus upgrade will be taken over by R&amp;R team as there's too much friction currently.  I expect this to bounce back next sprint. </t>
      </text>
    </comment>
    <comment ref="O117" authorId="25" shapeId="0" xr:uid="{86BEFC1A-E94B-481C-9037-0F365904AE20}">
      <text>
        <t>[Threaded comment]
Your version of Excel allows you to read this threaded comment; however, any edits to it will get removed if the file is opened in a newer version of Excel. Learn more: https://go.microsoft.com/fwlink/?linkid=870924
Comment:
    Sprint was started not taking into account the week of the category onsite.</t>
      </text>
    </comment>
    <comment ref="R117" authorId="26" shapeId="0" xr:uid="{53766872-3629-4122-A605-A708398FE90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@Austin Hunter what happened this sprint? Were holidays/PTO not accounted for during planning?
Reply:
    The main reason for this was that our test engineer was OOO the entire sprint and we didn't account for all the testing requirements that became the devs responsibilities. This is something I addressed with the team and will be reviewing during retro to ensure this doesn't happen again when we are short staffed. </t>
      </text>
    </comment>
    <comment ref="T117" authorId="27" shapeId="0" xr:uid="{BB16A7BA-8BC0-438A-A54A-44C689DD69D3}">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Made a mistake of bringing in two large tickets (one that was blocking the other). I corrected this for the current sprint
Reply:
    Just to add to this, we've also experienced a sharp increase of unplanned work/support for the MMP projects that we've taken ownership of. 
Reply:
    Thanks @Austin Hunter. Do you expect the unplanned work for MMP to die down this sprint? Or at least be more predictable for sprint planning purposes?
Reply:
    Yes, I've already seen it settle down a good amount this sprint. I think it was just the initial ramp up period of getting access/dev set ups and the first release out. </t>
      </text>
    </comment>
    <comment ref="W117" authorId="28" shapeId="0" xr:uid="{1827FD37-CD01-4BD1-AB53-AC8A55B1970B}">
      <text>
        <t>[Threaded comment]
Your version of Excel allows you to read this threaded comment; however, any edits to it will get removed if the file is opened in a newer version of Excel. Learn more: https://go.microsoft.com/fwlink/?linkid=870924
Comment:
    This drop in predictability is partially the result of 2 tickets being blocked by work needed outside of our team. Using a spike before committing to loosely defined work would have solved this. I also made the mistake of bringing in 2 large stories where one relied on the completion of the other (the blocker took longer than expected).
Reply:
    I did some more digging into this. We have a process that requires manual intervention when a company terminates (we manually send money from the company wallet back to their accounts). These manual work items interrupt our flow and require immediate attention. This is something we've been working to automate, and it should be in production soon.</t>
      </text>
    </comment>
    <comment ref="T137" authorId="29" shapeId="0" xr:uid="{70758138-3D92-47A8-A332-7E5CDD0DC11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@Austin Hunter is this just a function of fewer devs with you and Ron out of the mix, or is it related to ramping up on MMP? Or? I guess the main question is whether you expect this to go back up next sprint on its own or does it require some action?
Reply:
    I think it's a combination of both. We also have been working through a larger amount of spike work which has resulted in less PR's to review. I do expect this to go back up, but I'll keep a close eye on this as we head into more "normal" sprints </t>
      </text>
    </comment>
    <comment ref="N140" authorId="30" shapeId="0" xr:uid="{E72E5BED-B835-46D7-BCFB-E7CF399F9BE9}">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There's a problem with the sprint dates between that sprint and the new one. I'll find out how to fix that.
Reply:
    @Jose Basilio @Bob Baird let me know when this is updated please
Reply:
    The numbers were not calculated correctly because the sprint was started earlier by mistake and showed 4 tickets carried over/not completed. Bob helped me calculate it manually. We should be good for the next sprint.
Reply:
    @Jose Basilio @Bob Baird Lets make sure the Action Plan for Recruiting includes talking points for improving this going forward. </t>
      </text>
    </comment>
    <comment ref="T140" authorId="31" shapeId="0" xr:uid="{ED0DFA60-7E5F-4FE9-9E3F-27E5DFE06AE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@Jose Basilio  any driving factor here?
Reply:
    We had some PDR work roll over to next sprint due to some findings + unplanned work that came in that disrupted a bit.  There isn't very much on this board so a single ticket or two impacts this metric heavily.</t>
      </text>
    </comment>
    <comment ref="X140" authorId="32" shapeId="0" xr:uid="{83A1CAEB-A3F1-42A4-9A01-48DDA4C9FECF}">
      <text>
        <t xml:space="preserve">[Threaded comment]
Your version of Excel allows you to read this threaded comment; however, any edits to it will get removed if the file is opened in a newer version of Excel. Learn more: https://go.microsoft.com/fwlink/?linkid=870924
Comment:
    Predictability went down as we were attacking bug tickets dynamically during the sprint to meet our Q3 goal.
</t>
      </text>
    </comment>
    <comment ref="T141" authorId="33" shapeId="0" xr:uid="{8E00BA08-8B6B-4A44-9889-21039BD31B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@Jose Basilio anything action-worthy here?
Reply:
    Not really, the PDF debt work on this board is on track.  The PDR tickets (3) were rolled over and likely impacted this.  TBH we don't pay too much attention to this metric and I'm not really sure what we could do to impact this on this board since it is primary board for disruptions/unplanned work.</t>
      </text>
    </comment>
    <comment ref="R148" authorId="34" shapeId="0" xr:uid="{69851D30-4677-4D74-9510-34BAAF4238F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@Jose Basilio what's driving this increase in PDRs?
Reply:
    Jessica has been triaging PDRs and creating tickets for the team to tackle the backlog in Salesforce. We will probably see this number climb as well as the number of items resolved as we clear the backlog.</t>
      </text>
    </comment>
    <comment ref="N163" authorId="35" shapeId="0" xr:uid="{393F268D-F355-4E32-8F1E-104E3CA9BB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@Bob Baird  Interested in how and what was done to get to 100% sprint predictability.  The previous 3 sprints were trending down to 20%
Reply:
    @Scott Jucovics we had quite a bit of rollover work from the prior sprint w/20% so we only planned what we felt we could get done.  We ended up doing that and some more, hence the 100%.  The metric only counts what you have in the sprint prior to 'STARTING', which was only that rollover work.  The stuff we pulled in is counted as bonus points, and does not count against the metric if it doesn't happen to get done.  Hope this helps.
Reply:
    Got it.  How many stories were part of the 20% that rolled over?  Can you give me the link here to the Jira sprint? thanks
Reply:
    @Cory Miller just a ping on Scott's request
Reply:
    The rollover work was 100% of the planned work for the sprint with 100% predictability.  Then we pulled work in when devs wrapped that stuff up.   Which added to the velocity but not the predictability since it was pulled in work after we started the sprint.</t>
      </text>
    </comment>
    <comment ref="Q163" authorId="36" shapeId="0" xr:uid="{77DC1597-496D-4C3E-91BF-3953823C3672}">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@Jose Basilio what happened during this sprint for predictability to get so low?
Reply:
    We added items to the sprint without taking out points so we had higher rollover than anticipated.  </t>
      </text>
    </comment>
    <comment ref="U163" authorId="37" shapeId="0" xr:uid="{6C9A88D3-1502-49B3-9EE4-F5BAFC59DE74}">
      <text>
        <t>[Threaded comment]
Your version of Excel allows you to read this threaded comment; however, any edits to it will get removed if the file is opened in a newer version of Excel. Learn more: https://go.microsoft.com/fwlink/?linkid=870924
Comment:
    Not really sure why our predictability is low.  We committed to 64 points, we completed 73 points.  THere were tickets we didn't complete that the sprint started with that had findings, and rolled over.  This is likely the cause.</t>
      </text>
    </comment>
    <comment ref="R175" authorId="38" shapeId="0" xr:uid="{90A0140A-4E53-467A-A38D-C776CC20A3A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@Cory Miller @Jose Basilio is this because the team is now "Innovation" only? Do you expect to ever see this &gt; 0?
Reply:
    The idea is that this team will work roadmap items only unless a scenario pops up where we need to deviate.  This metric could help tell that story.  Unplanned work will ideally be as close to 0 as possible too.</t>
      </text>
    </comment>
  </commentList>
</comments>
</file>

<file path=xl/sharedStrings.xml><?xml version="1.0" encoding="utf-8"?>
<sst xmlns="http://schemas.openxmlformats.org/spreadsheetml/2006/main" count="3122" uniqueCount="250">
  <si>
    <t>Team</t>
  </si>
  <si>
    <t>Metric Group</t>
  </si>
  <si>
    <t>Metric</t>
  </si>
  <si>
    <t>Target</t>
  </si>
  <si>
    <t>Jul-25</t>
  </si>
  <si>
    <t>Jul-252</t>
  </si>
  <si>
    <t>Aug-25</t>
  </si>
  <si>
    <t>Aug-252</t>
  </si>
  <si>
    <t>Team 1</t>
  </si>
  <si>
    <t>Quality</t>
  </si>
  <si>
    <t>Change Failure Rate</t>
  </si>
  <si>
    <t>20 – 30%</t>
  </si>
  <si>
    <t xml:space="preserve">Legend: </t>
  </si>
  <si>
    <t xml:space="preserve">Metric reviewed every two weeks (or more). </t>
  </si>
  <si>
    <t>Metric reported Quarterly, first month after the quarter ends.</t>
  </si>
  <si>
    <t xml:space="preserve">Metric definition and/or instrumentation in flux. Not ready for reporting yet. </t>
  </si>
  <si>
    <t xml:space="preserve">Notes: </t>
  </si>
  <si>
    <t>Copy this file and in front of the file name add "YourGroupName Engineering Metrics": Core Platforms Engineering Metrics.xlsx</t>
  </si>
  <si>
    <t>Store your file here: https://paylocity1-my.sharepoint.com/:f:/g/personal/mvarma_paylocity_com/Eqgl47bNVT1Ot2XQ6exR7bYBjy7vXwev-kqAdOfIH5aESA?e=Yzizjv</t>
  </si>
  <si>
    <t xml:space="preserve">Capture Team-Level metrics using 'Team-Level Template'.  </t>
  </si>
  <si>
    <t xml:space="preserve">Update "Product / Platform 1 " - Column A - with Product Name on Team-Level Template for each team in your group. </t>
  </si>
  <si>
    <t>Capture Product-Level metrics using 'Product-Level' Template.</t>
  </si>
  <si>
    <t xml:space="preserve">Pull Product-Level aggregates directly from the source tool. </t>
  </si>
  <si>
    <t>Bi-weekly (Sprint) metrics can be collected in optional Bi-weekly tab at the end of the spreadsheet</t>
  </si>
  <si>
    <t xml:space="preserve">References: </t>
  </si>
  <si>
    <t>Engineering Metrics Knowledgebase</t>
  </si>
  <si>
    <t xml:space="preserve">FY2026 H1 Epic level Commitment % Dashboard </t>
  </si>
  <si>
    <t>FY2026 H2 Epic Level Commitment % Dashboard</t>
  </si>
  <si>
    <t xml:space="preserve">** For one jira project-multiple team set-up, see your custome dashboard. </t>
  </si>
  <si>
    <t>Dispositioned PDR Bug Dashboard</t>
  </si>
  <si>
    <t>Product/Platform</t>
  </si>
  <si>
    <t>Source</t>
  </si>
  <si>
    <t>Industry Benchmarks</t>
  </si>
  <si>
    <t>July</t>
  </si>
  <si>
    <t>August</t>
  </si>
  <si>
    <t>September</t>
  </si>
  <si>
    <t>October</t>
  </si>
  <si>
    <t>November</t>
  </si>
  <si>
    <t>December</t>
  </si>
  <si>
    <t>January</t>
  </si>
  <si>
    <t>February</t>
  </si>
  <si>
    <t>March</t>
  </si>
  <si>
    <t>April</t>
  </si>
  <si>
    <t>May</t>
  </si>
  <si>
    <t>June</t>
  </si>
  <si>
    <t>Recruiting Team Combined</t>
  </si>
  <si>
    <t>Productivity and Capacity</t>
  </si>
  <si>
    <t>Jellyfish</t>
  </si>
  <si>
    <t xml:space="preserve">Sprint Predictability </t>
  </si>
  <si>
    <t>80 – 85%</t>
  </si>
  <si>
    <t xml:space="preserve">Cycle Time (Days) </t>
  </si>
  <si>
    <t>5 – 8 days</t>
  </si>
  <si>
    <t>Unplanned work %</t>
  </si>
  <si>
    <t>30 – 40%</t>
  </si>
  <si>
    <t>Wasted Effort %</t>
  </si>
  <si>
    <t>5 – 12%</t>
  </si>
  <si>
    <t xml:space="preserve">Reliability </t>
  </si>
  <si>
    <t>Datadog</t>
  </si>
  <si>
    <t>Severity 1 Incidents</t>
  </si>
  <si>
    <t>0 - 1</t>
  </si>
  <si>
    <t>Severity 2 Incidents</t>
  </si>
  <si>
    <t>1 - 3</t>
  </si>
  <si>
    <t>Severity 3 Incidents</t>
  </si>
  <si>
    <t>5 - 10</t>
  </si>
  <si>
    <t>MTTR (Sev 1)</t>
  </si>
  <si>
    <t>6 – 12 hours</t>
  </si>
  <si>
    <t>N/A</t>
  </si>
  <si>
    <t>JIRA</t>
  </si>
  <si>
    <t>Dispositioned PDR Bugs - Created</t>
  </si>
  <si>
    <t>10 – 25 / month</t>
  </si>
  <si>
    <t>Dispositioned PDR Bugs - Resolved</t>
  </si>
  <si>
    <t>TBD</t>
  </si>
  <si>
    <t>Code Coverage %</t>
  </si>
  <si>
    <t>60 – 75%</t>
  </si>
  <si>
    <t>Defect Density</t>
  </si>
  <si>
    <t>Defect Escape Rate</t>
  </si>
  <si>
    <t xml:space="preserve">Delivery &amp; Commitments </t>
  </si>
  <si>
    <t>Commitment %</t>
  </si>
  <si>
    <t>80 – 90%</t>
  </si>
  <si>
    <t>Investment Allocations - R</t>
  </si>
  <si>
    <t>40-55%</t>
  </si>
  <si>
    <t>Investment Allocations - T</t>
  </si>
  <si>
    <t>5-15%</t>
  </si>
  <si>
    <t>Investment Allocations - M</t>
  </si>
  <si>
    <t>30-40%</t>
  </si>
  <si>
    <t>Investment Allocations - 0</t>
  </si>
  <si>
    <t>Deployment Frequency</t>
  </si>
  <si>
    <t>1 – 2x week</t>
  </si>
  <si>
    <t>2x mo</t>
  </si>
  <si>
    <t>Lead Time for Changes</t>
  </si>
  <si>
    <t>1 – 3 days</t>
  </si>
  <si>
    <t>Sentiment &amp; Team Health</t>
  </si>
  <si>
    <t>Developer Satisfaction</t>
  </si>
  <si>
    <t>70-77</t>
  </si>
  <si>
    <t>Quality of Meetings</t>
  </si>
  <si>
    <t xml:space="preserve">Perceived Productivity </t>
  </si>
  <si>
    <t>65-75</t>
  </si>
  <si>
    <t xml:space="preserve">Ease of Delivery </t>
  </si>
  <si>
    <t>70-80</t>
  </si>
  <si>
    <t xml:space="preserve">On-all Load (hrs/month) </t>
  </si>
  <si>
    <t>20-30 hours</t>
  </si>
  <si>
    <t>Regrettable Attrition</t>
  </si>
  <si>
    <t xml:space="preserve">Quality </t>
  </si>
  <si>
    <t xml:space="preserve">PR Review Velocity - X / Wk </t>
  </si>
  <si>
    <t>PR Review Velocity - X / FTE Wk</t>
  </si>
  <si>
    <t>PRS Merged - X/Wk</t>
  </si>
  <si>
    <t>PRS Merged -  X/FTE Wk</t>
  </si>
  <si>
    <t>PR Comments - X/Wk</t>
  </si>
  <si>
    <t>PR Comments - X/FTE Wk</t>
  </si>
  <si>
    <t>Recognition &amp; Rewards</t>
  </si>
  <si>
    <t>NA</t>
  </si>
  <si>
    <t>Not Enough Responses</t>
  </si>
  <si>
    <t>Action Plan 1</t>
  </si>
  <si>
    <r>
      <rPr>
        <b/>
        <sz val="8"/>
        <color theme="1"/>
        <rFont val="Aptos Narrow"/>
        <family val="2"/>
        <scheme val="minor"/>
      </rPr>
      <t>Sprint Predictability</t>
    </r>
    <r>
      <rPr>
        <sz val="8"/>
        <color theme="1"/>
        <rFont val="Aptos Narrow"/>
        <family val="2"/>
        <scheme val="minor"/>
      </rPr>
      <t>: Improve predictability through thoughtful sprint planning and conducting mid-sprint reviews to refocus on our commitments → Target 80% predictability by end of April.</t>
    </r>
  </si>
  <si>
    <r>
      <rPr>
        <b/>
        <sz val="8"/>
        <color rgb="FF000000"/>
        <rFont val="Aptos Narrow"/>
        <scheme val="minor"/>
      </rPr>
      <t>Sprint Predictability</t>
    </r>
    <r>
      <rPr>
        <sz val="8"/>
        <color rgb="FF000000"/>
        <rFont val="Aptos Narrow"/>
        <scheme val="minor"/>
      </rPr>
      <t>: Improve predictability through intentional pre-sprint planning sessions that focus on quarterly commitments → Target 80% predictability by end of April.</t>
    </r>
  </si>
  <si>
    <t>Action Plan 2</t>
  </si>
  <si>
    <r>
      <rPr>
        <b/>
        <sz val="8"/>
        <color theme="1"/>
        <rFont val="Aptos Narrow"/>
        <family val="2"/>
        <scheme val="minor"/>
      </rPr>
      <t>Unplanned Work</t>
    </r>
    <r>
      <rPr>
        <sz val="8"/>
        <color theme="1"/>
        <rFont val="Aptos Narrow"/>
        <family val="2"/>
        <scheme val="minor"/>
      </rPr>
      <t>: Reduce the amount of unplanned work by continuing to use and enforce our intake process so we can prioritize our committed work first → Target less than 25% for unplanned work by end of April.  </t>
    </r>
  </si>
  <si>
    <r>
      <rPr>
        <b/>
        <sz val="8"/>
        <color rgb="FF000000"/>
        <rFont val="Aptos Narrow"/>
        <scheme val="minor"/>
      </rPr>
      <t>Unplanned Work</t>
    </r>
    <r>
      <rPr>
        <sz val="8"/>
        <color rgb="FF000000"/>
        <rFont val="Aptos Narrow"/>
        <scheme val="minor"/>
      </rPr>
      <t>: Reduce the amount of unplanned work by continuing to use and enforce our intake process so we can prioritize our committed work first → Target less than 25% for unplanned work by end of April.  </t>
    </r>
  </si>
  <si>
    <t>Action Plan 3</t>
  </si>
  <si>
    <t>Onboarding</t>
  </si>
  <si>
    <r>
      <rPr>
        <b/>
        <sz val="8"/>
        <color theme="1"/>
        <rFont val="Aptos Narrow"/>
        <family val="2"/>
        <scheme val="minor"/>
      </rPr>
      <t>Quality / PDR Bugs</t>
    </r>
    <r>
      <rPr>
        <sz val="8"/>
        <color theme="1"/>
        <rFont val="Aptos Narrow"/>
        <family val="2"/>
        <scheme val="minor"/>
      </rPr>
      <t>: Improve the ratio of Created/Resolved PDRs by resolving at least four PDRs per sprint → based on last month’s metrics (9 created / 6 resolved = ratio of 3:2), we will target a ratio of 3:3 by the end of April.</t>
    </r>
  </si>
  <si>
    <r>
      <rPr>
        <b/>
        <sz val="8"/>
        <color rgb="FF000000"/>
        <rFont val="Aptos Narrow"/>
      </rPr>
      <t>Sprint Predictability:</t>
    </r>
    <r>
      <rPr>
        <sz val="8"/>
        <color rgb="FF000000"/>
        <rFont val="Aptos Narrow"/>
      </rPr>
      <t xml:space="preserve"> Reinforce sprint planning discipline, tighten mid-sprint alignment checks, and rebalance commitment sizing to proactively manage scope changes and execution variance → targeted recovery plan in place for next month, with predictability currently at 80% this month and a clear path toward restoring commitment reliability</t>
    </r>
  </si>
  <si>
    <r>
      <rPr>
        <b/>
        <sz val="8"/>
        <color rgb="FF000000"/>
        <rFont val="Aptos Narrow"/>
        <scheme val="minor"/>
      </rPr>
      <t>Sprint Predictability</t>
    </r>
    <r>
      <rPr>
        <sz val="8"/>
        <color rgb="FF000000"/>
        <rFont val="Aptos Narrow"/>
        <scheme val="minor"/>
      </rPr>
      <t>: Continue reinforcing sprint planning cadence and maintaining mid-sprint alignment checks to prevent scope creep and further strengthen commitment accuracy → sustained improvement with predictability now rising to 89.7% this month</t>
    </r>
  </si>
  <si>
    <r>
      <rPr>
        <b/>
        <sz val="8"/>
        <color rgb="FF000000"/>
        <rFont val="Aptos Narrow"/>
      </rPr>
      <t xml:space="preserve">Collaboration / Process Improvements: </t>
    </r>
    <r>
      <rPr>
        <sz val="8"/>
        <color rgb="FF000000"/>
        <rFont val="Aptos Narrow"/>
      </rPr>
      <t xml:space="preserve">Conduct a pre‑sprint planning session with the full team before each sprint to review and refine upcoming stories for scope, UX readiness, and acceptance clarity → increased upfront alignment and story readiness, minimizing mid‑sprint interruptions and rework, targeting a cycle time of 5 days or less. </t>
    </r>
  </si>
  <si>
    <t>Recruiting Modernization</t>
  </si>
  <si>
    <t>x</t>
  </si>
  <si>
    <t>Recruiting Innovation</t>
  </si>
  <si>
    <t>Recruiting Combined</t>
  </si>
  <si>
    <r>
      <rPr>
        <b/>
        <sz val="8"/>
        <color theme="1"/>
        <rFont val="Aptos Narrow"/>
        <family val="2"/>
        <scheme val="minor"/>
      </rPr>
      <t>Sprint Predictability</t>
    </r>
    <r>
      <rPr>
        <sz val="8"/>
        <color theme="1"/>
        <rFont val="Aptos Narrow"/>
        <family val="2"/>
        <scheme val="minor"/>
      </rPr>
      <t>: Continue to limit disruptions by bringing in mostly items that have had proper work breakdown tasks created. Set individual sprint commitments for each engineer. → Maintain sprint predictability at around 80-90% through Mar.</t>
    </r>
  </si>
  <si>
    <r>
      <rPr>
        <b/>
        <sz val="8"/>
        <color rgb="FF000000"/>
        <rFont val="Aptos Narrow"/>
        <scheme val="minor"/>
      </rPr>
      <t>Sprint Predictability</t>
    </r>
    <r>
      <rPr>
        <sz val="8"/>
        <color rgb="FF000000"/>
        <rFont val="Aptos Narrow"/>
        <scheme val="minor"/>
      </rPr>
      <t>: Enforce Definition of Ready for all sprint work, align sprint scope to validated capacity, and address predictability misses in retrospectives.  → Sustain 80-85% sprint predictability through April</t>
    </r>
  </si>
  <si>
    <r>
      <rPr>
        <b/>
        <sz val="8"/>
        <color theme="1"/>
        <rFont val="Aptos Narrow"/>
        <family val="2"/>
        <scheme val="minor"/>
      </rPr>
      <t>PDR Bugs</t>
    </r>
    <r>
      <rPr>
        <sz val="8"/>
        <color theme="1"/>
        <rFont val="Aptos Narrow"/>
        <family val="2"/>
        <scheme val="minor"/>
      </rPr>
      <t>: Analyze PDR themes to identify product gaps and high escape-rate features, and allocate additional engineers to support PDRs → Targeting increased Resolved PDR count of 8-10 in March</t>
    </r>
  </si>
  <si>
    <t>Learning Management</t>
  </si>
  <si>
    <r>
      <rPr>
        <b/>
        <sz val="8"/>
        <color theme="1"/>
        <rFont val="Aptos Narrow"/>
        <family val="2"/>
        <scheme val="minor"/>
      </rPr>
      <t>Sprint Predictability</t>
    </r>
    <r>
      <rPr>
        <sz val="8"/>
        <color theme="1"/>
        <rFont val="Aptos Narrow"/>
        <family val="2"/>
        <scheme val="minor"/>
      </rPr>
      <t>: Aim for achievable number of tickets each sprint → target 10% or higher increase in predictability in March.</t>
    </r>
  </si>
  <si>
    <r>
      <rPr>
        <b/>
        <sz val="8"/>
        <color rgb="FF000000"/>
        <rFont val="Aptos Narrow"/>
        <scheme val="minor"/>
      </rPr>
      <t>PDR Bugs:</t>
    </r>
    <r>
      <rPr>
        <sz val="8"/>
        <color rgb="FF000000"/>
        <rFont val="Aptos Narrow"/>
        <scheme val="minor"/>
      </rPr>
      <t xml:space="preserve"> Improve the ratio of Created/Resolved PDRs by resolving at least one PDR per sprint → targeting even 1:1 ratio or better for April.</t>
    </r>
  </si>
  <si>
    <r>
      <rPr>
        <b/>
        <sz val="8"/>
        <color theme="1"/>
        <rFont val="Aptos Narrow"/>
        <family val="2"/>
        <scheme val="minor"/>
      </rPr>
      <t>Code Coverage</t>
    </r>
    <r>
      <rPr>
        <sz val="8"/>
        <color theme="1"/>
        <rFont val="Aptos Narrow"/>
        <family val="2"/>
        <scheme val="minor"/>
      </rPr>
      <t>: Rotate a code coverage ticket to new engineer each sprint (and try AI) → improve code coverage in LMS WPL UI by 5% in March.</t>
    </r>
  </si>
  <si>
    <r>
      <rPr>
        <b/>
        <sz val="8"/>
        <color rgb="FF000000"/>
        <rFont val="Aptos Narrow"/>
      </rPr>
      <t>Code Coverage</t>
    </r>
    <r>
      <rPr>
        <sz val="8"/>
        <color rgb="FF000000"/>
        <rFont val="Aptos Narrow"/>
      </rPr>
      <t>: Create dedicated code coverage ticket expected to use AI → improve code coverage in LMS WPL UI by 5% in April.</t>
    </r>
  </si>
  <si>
    <t>High technical investment allocation due to Async In-App Reporting project.</t>
  </si>
  <si>
    <t>Employee Voice</t>
  </si>
  <si>
    <t>Notes/Comments/Actions</t>
  </si>
  <si>
    <t>3 Sprints</t>
  </si>
  <si>
    <r>
      <rPr>
        <b/>
        <sz val="8"/>
        <color theme="1"/>
        <rFont val="Aptos Narrow"/>
        <family val="2"/>
        <scheme val="minor"/>
      </rPr>
      <t>Cycle Time</t>
    </r>
    <r>
      <rPr>
        <sz val="8"/>
        <color theme="1"/>
        <rFont val="Aptos Narrow"/>
        <family val="2"/>
        <scheme val="minor"/>
      </rPr>
      <t>: Reduce time tickets are waiting for code review by assigning PRs during DSU → reduce 1 day of cycle time by the end of March.</t>
    </r>
  </si>
  <si>
    <r>
      <rPr>
        <b/>
        <sz val="8"/>
        <color theme="1"/>
        <rFont val="Aptos Narrow"/>
        <family val="2"/>
        <scheme val="minor"/>
      </rPr>
      <t>Sprint Predictability :</t>
    </r>
    <r>
      <rPr>
        <sz val="8"/>
        <color theme="1"/>
        <rFont val="Aptos Narrow"/>
        <family val="2"/>
        <scheme val="minor"/>
      </rPr>
      <t>  Optimize sprint planning to better identify and distribute inter-dependent work in the sprints. → Targeting 80-85% predictability by the end of June.</t>
    </r>
  </si>
  <si>
    <r>
      <rPr>
        <b/>
        <sz val="8"/>
        <color theme="1"/>
        <rFont val="Aptos Narrow"/>
        <family val="2"/>
        <scheme val="minor"/>
      </rPr>
      <t>Quality / PDR Bugs</t>
    </r>
    <r>
      <rPr>
        <sz val="8"/>
        <color theme="1"/>
        <rFont val="Aptos Narrow"/>
        <family val="2"/>
        <scheme val="minor"/>
      </rPr>
      <t>: Improve the ratio of Created/Resolved PDRs by resolving at least one PDR per sprint → targeting ratio of 1:2 by March.</t>
    </r>
  </si>
  <si>
    <r>
      <rPr>
        <b/>
        <sz val="8"/>
        <color theme="1"/>
        <rFont val="Aptos Narrow"/>
        <family val="2"/>
        <scheme val="minor"/>
      </rPr>
      <t>Cycle Time</t>
    </r>
    <r>
      <rPr>
        <sz val="8"/>
        <color theme="1"/>
        <rFont val="Aptos Narrow"/>
        <family val="2"/>
        <scheme val="minor"/>
      </rPr>
      <t>: Reduce time tickets are waiting for code review by assigning PRs during DSU → reduce .5 day of cycle time by the end of June. (Achived the 1 Day cycle reduction goal in March)</t>
    </r>
  </si>
  <si>
    <r>
      <rPr>
        <b/>
        <sz val="8"/>
        <color theme="1"/>
        <rFont val="Aptos Narrow"/>
        <family val="2"/>
        <scheme val="minor"/>
      </rPr>
      <t>Quality / PDR Bugs</t>
    </r>
    <r>
      <rPr>
        <sz val="8"/>
        <color theme="1"/>
        <rFont val="Aptos Narrow"/>
        <family val="2"/>
        <scheme val="minor"/>
      </rPr>
      <t>: Improve the ratio of Created/Resolved PDRs by resolving at least one PDR per sprint → targeting ratio of 1:3 by June. (Achived the 1:2 ratio in March)</t>
    </r>
  </si>
  <si>
    <t>Performance Management</t>
  </si>
  <si>
    <r>
      <rPr>
        <b/>
        <sz val="8"/>
        <color theme="1"/>
        <rFont val="Aptos Narrow"/>
        <family val="2"/>
        <scheme val="minor"/>
      </rPr>
      <t>Quality/Code Coverage</t>
    </r>
    <r>
      <rPr>
        <sz val="8"/>
        <color theme="1"/>
        <rFont val="Aptos Narrow"/>
        <family val="2"/>
        <scheme val="minor"/>
      </rPr>
      <t>: Drive increased code coverage with PR/Code Review checklist and unit test verification as pre-requisites for PR approvals. → Targeting to increase Journal code coverage by 10%.  By increasing code coverage this will help reduce risk of MIN and help return to 0 MINs.</t>
    </r>
  </si>
  <si>
    <r>
      <rPr>
        <b/>
        <sz val="8"/>
        <color theme="1"/>
        <rFont val="Aptos Narrow"/>
        <family val="2"/>
        <scheme val="minor"/>
      </rPr>
      <t>PDR Bugs</t>
    </r>
    <r>
      <rPr>
        <sz val="8"/>
        <color theme="1"/>
        <rFont val="Aptos Narrow"/>
        <family val="2"/>
        <scheme val="minor"/>
      </rPr>
      <t>: After going through the busiest Review cycle of the year, we say increase in PDR's reported, we plan to prioritize additional PDR work into upcoming sprints. →  Targeting to reduce overall PDRs by 16 by the end of April.</t>
    </r>
  </si>
  <si>
    <r>
      <rPr>
        <b/>
        <sz val="8"/>
        <color rgb="FF000000"/>
        <rFont val="Aptos Narrow"/>
        <scheme val="minor"/>
      </rPr>
      <t>PDR Bugs</t>
    </r>
    <r>
      <rPr>
        <sz val="8"/>
        <color rgb="FF000000"/>
        <rFont val="Aptos Narrow"/>
        <scheme val="minor"/>
      </rPr>
      <t>: After going through the busiest Review cycle of the year, we saw increase in PDR's reported, we plan to prioritize additional PDR work into upcoming sprints. →  Targeting to reduce overall PDRs by 30 by the end of April.</t>
    </r>
  </si>
  <si>
    <t>Compensation Management</t>
  </si>
  <si>
    <t>3h</t>
  </si>
  <si>
    <r>
      <rPr>
        <b/>
        <sz val="8"/>
        <color theme="1"/>
        <rFont val="Aptos Narrow"/>
        <family val="2"/>
        <scheme val="minor"/>
      </rPr>
      <t>Sprint Predictability</t>
    </r>
    <r>
      <rPr>
        <sz val="8"/>
        <color theme="1"/>
        <rFont val="Aptos Narrow"/>
        <family val="2"/>
        <scheme val="minor"/>
      </rPr>
      <t xml:space="preserve"> :  Optimize sprint planning to better identify and distribute inter-dependent work and cross-team dependencies in the sprints. → Targeting 80-85% predictability by March.</t>
    </r>
  </si>
  <si>
    <r>
      <rPr>
        <b/>
        <sz val="8"/>
        <color theme="1"/>
        <rFont val="Aptos Narrow"/>
        <family val="2"/>
        <scheme val="minor"/>
      </rPr>
      <t>Sprint predictability</t>
    </r>
    <r>
      <rPr>
        <sz val="8"/>
        <color theme="1"/>
        <rFont val="Aptos Narrow"/>
        <family val="2"/>
        <scheme val="minor"/>
      </rPr>
      <t>: Normalize sprint commitments to 90–95% and reserve 5–10% capacity for resilience and continuous improvement each sprint
→ Sustains elite predictability (&gt;85%) and sub‑4‑day cycle time while mitigating delivery burnout and preserving adaptability at scale.</t>
    </r>
  </si>
  <si>
    <r>
      <rPr>
        <b/>
        <sz val="8"/>
        <color theme="1"/>
        <rFont val="Aptos Narrow"/>
        <family val="2"/>
        <scheme val="minor"/>
      </rPr>
      <t>Dispositioned PDR Bug</t>
    </r>
    <r>
      <rPr>
        <sz val="8"/>
        <color theme="1"/>
        <rFont val="Aptos Narrow"/>
        <family val="2"/>
        <scheme val="minor"/>
      </rPr>
      <t>s:  Expand test automation for recurring PDR scenarios while matching resolution speed to incoming PDR bug rates → Reduce the number of PDRs bugs by the end of the quarter. </t>
    </r>
  </si>
  <si>
    <r>
      <rPr>
        <b/>
        <sz val="8"/>
        <color theme="1"/>
        <rFont val="Aptos Narrow"/>
        <family val="2"/>
        <scheme val="minor"/>
      </rPr>
      <t>Investment allocation:</t>
    </r>
    <r>
      <rPr>
        <sz val="8"/>
        <color theme="1"/>
        <rFont val="Aptos Narrow"/>
        <family val="2"/>
        <scheme val="minor"/>
      </rPr>
      <t xml:space="preserve"> Reallocate 5–10% of quarterly capacity from RTB (R) to Tech debt (T) initiatives, reviewed quarterly
→ Reduces long‑term delivery and incident risk, maintains zero Sev 1–2 incidents, and ensures MTTR readiness within industry targets</t>
    </r>
  </si>
  <si>
    <r>
      <rPr>
        <b/>
        <sz val="8"/>
        <color theme="1"/>
        <rFont val="Aptos Narrow"/>
        <family val="2"/>
        <scheme val="minor"/>
      </rPr>
      <t>Investment Allocation</t>
    </r>
    <r>
      <rPr>
        <sz val="8"/>
        <color theme="1"/>
        <rFont val="Aptos Narrow"/>
        <family val="2"/>
        <scheme val="minor"/>
      </rPr>
      <t>: We successfully adjusted the allocation in Feb to balance the quarter, and we will keep  adjusting it to achieve a balance of 75/5/20. We will reduce the Others to 0 by finish the onboarding of the transferred developer and keep focusing solely on tasks for the current quarter without including future work and addressing valuable tech debt, PDRs and bugs. → The goal is to reach this balanced allocation by the end of the quarter.</t>
    </r>
  </si>
  <si>
    <r>
      <rPr>
        <b/>
        <sz val="8"/>
        <color theme="1"/>
        <rFont val="Aptos Narrow"/>
        <family val="2"/>
        <scheme val="minor"/>
      </rPr>
      <t xml:space="preserve">Defect prevention: </t>
    </r>
    <r>
      <rPr>
        <sz val="8"/>
        <color theme="1"/>
        <rFont val="Aptos Narrow"/>
        <family val="2"/>
        <scheme val="minor"/>
      </rPr>
      <t>Implement monthly defect pattern analysis and standardized deployment risk validation starting next month
→ Reduces downstream delivery risk, sustains zero critical incidents, and prevents quality regressions as throughput remains high</t>
    </r>
  </si>
  <si>
    <t>-Invested a sprint in a Bug Bash
-There were several spikes in the sprint and made an investment to work in the local envs to point to Tin for dependencie instead of brining them to the local which was causing devs to lose time updating and fixing issues every sprint.
-In the last sprint, the velocity went down due to 1 dev on paternity leave.
- We invested time planning the Market Pay data provider replacement planning.</t>
  </si>
  <si>
    <t>Jul Sprint 1</t>
  </si>
  <si>
    <t>Jul Sprint 2</t>
  </si>
  <si>
    <t xml:space="preserve">Aug Sprint 1 </t>
  </si>
  <si>
    <t>Aug Sprint 2</t>
  </si>
  <si>
    <t>Sept Sprint 1</t>
  </si>
  <si>
    <t>Sept Sprint 2</t>
  </si>
  <si>
    <t>Oct Sprint 1</t>
  </si>
  <si>
    <t>Oct Sprint 2</t>
  </si>
  <si>
    <t>Nov Sprint 1</t>
  </si>
  <si>
    <t>Nov Sprint 2</t>
  </si>
  <si>
    <t>Dec Sprint 1</t>
  </si>
  <si>
    <t>12/15 - 12/26</t>
  </si>
  <si>
    <t>12/29 - 1/9</t>
  </si>
  <si>
    <t>1/12 - 1/23</t>
  </si>
  <si>
    <t>1/26 - 2/06</t>
  </si>
  <si>
    <t>2/09 - 2/20</t>
  </si>
  <si>
    <t>2/23 - 3/6</t>
  </si>
  <si>
    <t>3/9 - 3/20</t>
  </si>
  <si>
    <t>3/23 - 4/3</t>
  </si>
  <si>
    <t>PR Review Velocity - X / Sprint</t>
  </si>
  <si>
    <t>55 (per sprint)</t>
  </si>
  <si>
    <t>PR Review Velocity - X / FTE Sprint</t>
  </si>
  <si>
    <t>5.04 (per sprint)</t>
  </si>
  <si>
    <t>PRS Merged - X/Sprint</t>
  </si>
  <si>
    <t>57 (per sprint)</t>
  </si>
  <si>
    <t>PRS Merged -  X/FTE Sprint</t>
  </si>
  <si>
    <t>5.19 (per sprint)</t>
  </si>
  <si>
    <t>PR Comments - X/Sprint</t>
  </si>
  <si>
    <t>15 (per sprint)</t>
  </si>
  <si>
    <t>PR Comments - X/FTE Sprint</t>
  </si>
  <si>
    <t>1.22 (per sprint)</t>
  </si>
  <si>
    <t>Scheduled Trainings to EA sprint</t>
  </si>
  <si>
    <t>Unplanned work included Healthcare bundle, Configuration OnDemand enhancements the customer and product wanted, plus bugs</t>
  </si>
  <si>
    <t>Maintenance number due to epics with incorrect Investment Category. This has since been corrected. Only maintenance was 1 QASE Standards Adoption ticket</t>
  </si>
  <si>
    <t>Auto-Assign by Position is Dev complete (and deployed) yet toggle ON for EA delayed due to Code Freeze.</t>
  </si>
  <si>
    <t>Low predictability due to Holidays (bugs vs. low # engineers available). Unplanned work due to Bugs (and Tech Debt). One PDR Bug was created on the last day of the Sprint.</t>
  </si>
  <si>
    <t>Adjusted Planned vs. Unplanned so Unplanned is truly only unexpected work that came in.</t>
  </si>
  <si>
    <t>Cycle Time long due to a few especially long tickets such as Employee Scoped resources in Nav Service for the Permissions project (30 days).</t>
  </si>
  <si>
    <t>In terms of Sprint Predictability, we still commit to too much and add too much during the sprint. Yet, this seems to have to do with the "Stretch goal" mentality of many of the team members. Most of the team got pulled-in to helping to test the Permissions project.</t>
  </si>
  <si>
    <t>The 2 open PDR Bugs are actively being worked-on.</t>
  </si>
  <si>
    <t>Looks like Sprint Predictability was impacted by a lot of carryover from the last Sprint that took longer to complete than expected.</t>
  </si>
  <si>
    <t>7/7 - 7/18</t>
  </si>
  <si>
    <t>7/21 - 8/1</t>
  </si>
  <si>
    <t>8/4 - 8/15</t>
  </si>
  <si>
    <t>8/18 - 8/29</t>
  </si>
  <si>
    <t>9/1 - 9/12</t>
  </si>
  <si>
    <t>9/15 - 9/26</t>
  </si>
  <si>
    <t>9/29-10/10</t>
  </si>
  <si>
    <t>10/13-10/24</t>
  </si>
  <si>
    <t>10/27-11/7</t>
  </si>
  <si>
    <t>11/7-11/20</t>
  </si>
  <si>
    <t>11/24-11/28</t>
  </si>
  <si>
    <t>12/1-12/12</t>
  </si>
  <si>
    <t>2/9 - 2/20</t>
  </si>
  <si>
    <t>Invested a sprint in a Bug Bash</t>
  </si>
  <si>
    <t>There were several spikes in the sprint and made an investment to work in the local envs to point to Tin for dependencie instead of brining them to the local which was causing devs to lose time updating and fixing issues every sprint.</t>
  </si>
  <si>
    <t>Velocity went down due to 1 dev on paternity leave.</t>
  </si>
  <si>
    <t>A lot of work done but the team felt overworked. We have a release and we had issues going to Bronze. We are looking for improvement opportunities there.</t>
  </si>
  <si>
    <t>Short by 2 devs. There was some investigation needed with the positions integration. Some assumptions were not accurate and changes to the design needed to be made. Learnings were aquired by STEs on Postman scripting.</t>
  </si>
  <si>
    <t>Short sprint due to onsite.</t>
  </si>
  <si>
    <t>We got access to salary.com and we have to make several modifications. There were several conversations on approaches and the work took longer than expected. We have other work which is for onboarding a new STE</t>
  </si>
  <si>
    <t>One week sprint to align with P&amp;T</t>
  </si>
  <si>
    <t>1/26 - 2/09</t>
  </si>
  <si>
    <t>9/22 - 10/6</t>
  </si>
  <si>
    <t>10/6 - 10/20</t>
  </si>
  <si>
    <t>10/20 - 11/3</t>
  </si>
  <si>
    <t>11/3 - 11/17</t>
  </si>
  <si>
    <t>11/17 - 12/1</t>
  </si>
  <si>
    <t>12/1 - 12/12</t>
  </si>
  <si>
    <t>2/09 - 2/23</t>
  </si>
  <si>
    <t>8/27 - 9/9</t>
  </si>
  <si>
    <t>9/10-9/23</t>
  </si>
  <si>
    <t>9/24-10/7</t>
  </si>
  <si>
    <t>10/8-10/21</t>
  </si>
  <si>
    <t>10/22-11/4</t>
  </si>
  <si>
    <t>11/5-11/18</t>
  </si>
  <si>
    <t>11/19-12/2</t>
  </si>
  <si>
    <t>12/3-12/12</t>
  </si>
  <si>
    <t>The actions taken to improve predictability and Cycle Time are working</t>
  </si>
  <si>
    <t>The sprint was two days shorter to allign with standard sprint start/end days</t>
  </si>
  <si>
    <t>12/1 - 12/15</t>
  </si>
  <si>
    <t>2/23 - 3/9</t>
  </si>
  <si>
    <t>Recognition</t>
  </si>
  <si>
    <t>9/08-9/19</t>
  </si>
  <si>
    <t>9/22 - 10/03</t>
  </si>
  <si>
    <t>10/06-10/17</t>
  </si>
  <si>
    <t>10/20 - 10/31</t>
  </si>
  <si>
    <t>11/10-12/01</t>
  </si>
  <si>
    <t>12/15 - 12/29</t>
  </si>
  <si>
    <t>12/29 - 1/12</t>
  </si>
  <si>
    <t>1/12 - 1/26</t>
  </si>
  <si>
    <t>3/9 - 3/23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</si>
</sst>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Aptos Narrow"/>
      <family val="2"/>
      <scheme val="minor"/>
    </font>
    <font>
      <b/>
      <sz val="12"/>
      <color theme="1"/>
      <name val="Aptos Narrow"/>
      <family val="2"/>
      <scheme val="minor"/>
    </font>
    <font>
      <sz val="12"/>
      <color theme="1"/>
      <name val="Aptos Narrow"/>
      <family val="2"/>
      <scheme val="minor"/>
    </font>
    <font>
      <sz val="24"/>
      <color rgb="FFFF0000"/>
      <name val="Aptos Narrow"/>
      <family val="2"/>
      <scheme val="minor"/>
    </font>
    <font>
      <u/>
      <sz val="12"/>
      <color theme="10"/>
      <name val="Aptos Narrow"/>
      <family val="2"/>
      <scheme val="minor"/>
    </font>
    <font>
      <sz val="8"/>
      <name val="Aptos Narrow"/>
      <family val="2"/>
      <scheme val="minor"/>
    </font>
    <font>
      <sz val="12"/>
      <color rgb="FF000000"/>
      <name val="Aptos Narrow"/>
      <family val="2"/>
    </font>
    <font>
      <sz val="8"/>
      <color theme="1"/>
      <name val="Aptos Narrow"/>
      <family val="2"/>
      <scheme val="minor"/>
    </font>
    <font>
      <sz val="12"/>
      <color rgb="FF000000"/>
      <name val="Aptos Narrow"/>
    </font>
    <font>
      <b/>
      <sz val="12"/>
      <color rgb="FF000000"/>
      <name val="Aptos Narrow"/>
    </font>
    <font>
      <sz val="12"/>
      <color rgb="FF000000"/>
      <name val="Aptos Narrow"/>
      <family val="2"/>
      <scheme val="minor"/>
    </font>
    <font>
      <b/>
      <sz val="12"/>
      <color rgb="FF000000"/>
      <name val="Aptos Narrow"/>
      <scheme val="minor"/>
    </font>
    <font>
      <b/>
      <sz val="12"/>
      <color rgb="FF000000"/>
      <name val="Aptos Narrow"/>
      <family val="2"/>
      <scheme val="minor"/>
    </font>
    <font>
      <b/>
      <sz val="8"/>
      <color theme="1"/>
      <name val="Aptos Narrow"/>
      <family val="2"/>
      <scheme val="minor"/>
    </font>
    <font>
      <b/>
      <sz val="12"/>
      <color rgb="FF000000"/>
      <name val="Aptos Narrow"/>
      <family val="2"/>
    </font>
    <font>
      <b/>
      <sz val="8"/>
      <color rgb="FF000000"/>
      <name val="Aptos Narrow"/>
      <scheme val="minor"/>
    </font>
    <font>
      <sz val="8"/>
      <color rgb="FF000000"/>
      <name val="Aptos Narrow"/>
      <scheme val="minor"/>
    </font>
    <font>
      <sz val="8"/>
      <color rgb="FF000000"/>
      <name val="Aptos Narrow"/>
      <family val="2"/>
      <scheme val="minor"/>
    </font>
    <font>
      <b/>
      <sz val="8"/>
      <color rgb="FF000000"/>
      <name val="Aptos Narrow"/>
    </font>
    <font>
      <sz val="8"/>
      <color rgb="FF000000"/>
      <name val="Aptos Narrow"/>
    </font>
  </fonts>
  <fills count="10">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rgb="FFFFFFCC"/>
        <bgColor indexed="64"/>
      </patternFill>
    </fill>
    <fill>
      <patternFill patternType="solid">
        <fgColor theme="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12">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auto="1"/>
      </bottom>
      <diagonal/>
    </border>
    <border>
      <left/>
      <right/>
      <top/>
      <bottom style="thin">
        <color rgb="FF000000"/>
      </bottom>
      <diagonal/>
    </border>
  </borders>
  <cellStyleXfs count="3">
    <xf numFmtId="0" fontId="0" fillId="0" borderId="0"/>
    <xf numFmtId="0" fontId="4" fillId="0" borderId="0" applyNumberFormat="0" applyFill="0" applyBorder="0" applyAlignment="0" applyProtection="0"/>
    <xf numFmtId="9" fontId="2" fillId="0" borderId="0" applyFont="0" applyFill="0" applyBorder="0" applyAlignment="0" applyProtection="0"/>
  </cellStyleXfs>
  <cellXfs count="104">
    <xf numFmtId="0" fontId="0" fillId="0" borderId="0" xfId="0"/>
    <xf numFmtId="0" fontId="1" fillId="0" borderId="0" xfId="0" applyFont="1"/>
    <xf numFmtId="0" fontId="0" fillId="0" borderId="0" xfId="0"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left"/>
    </xf>
    <xf numFmtId="49" fontId="0" fillId="0" borderId="0" xfId="0" applyNumberFormat="1" applyAlignment="1">
      <alignment horizontal="center" vertical="center"/>
    </xf>
    <xf numFmtId="0" fontId="0" fillId="0" borderId="0" xfId="0" applyAlignment="1">
      <alignment horizontal="left" indent="1"/>
    </xf>
    <xf numFmtId="0" fontId="0" fillId="2" borderId="0" xfId="0" applyFill="1"/>
    <xf numFmtId="17" fontId="1" fillId="3" borderId="0" xfId="0" applyNumberFormat="1" applyFont="1" applyFill="1"/>
    <xf numFmtId="0" fontId="0" fillId="0" borderId="10" xfId="0" applyBorder="1"/>
    <xf numFmtId="0" fontId="0" fillId="0" borderId="10" xfId="0" applyBorder="1" applyAlignment="1">
      <alignment horizontal="center" vertical="center"/>
    </xf>
    <xf numFmtId="0" fontId="1" fillId="3" borderId="0" xfId="0" applyFont="1" applyFill="1"/>
    <xf numFmtId="0" fontId="0" fillId="4" borderId="0" xfId="0" applyFill="1"/>
    <xf numFmtId="0" fontId="4" fillId="0" borderId="0" xfId="1"/>
    <xf numFmtId="0" fontId="0" fillId="5" borderId="0" xfId="0" applyFill="1"/>
    <xf numFmtId="0" fontId="0" fillId="5" borderId="0" xfId="0" applyFill="1" applyAlignment="1">
      <alignment horizontal="left"/>
    </xf>
    <xf numFmtId="0" fontId="0" fillId="5" borderId="10" xfId="0" applyFill="1" applyBorder="1"/>
    <xf numFmtId="0" fontId="0" fillId="6" borderId="0" xfId="0" applyFill="1"/>
    <xf numFmtId="0" fontId="0" fillId="0" borderId="0" xfId="0" applyAlignment="1">
      <alignment wrapText="1"/>
    </xf>
    <xf numFmtId="0" fontId="0" fillId="0" borderId="0" xfId="0" applyAlignment="1">
      <alignment horizontal="center"/>
    </xf>
    <xf numFmtId="0" fontId="6" fillId="0" borderId="0" xfId="0" applyFont="1"/>
    <xf numFmtId="0" fontId="6" fillId="0" borderId="0" xfId="0" applyFont="1" applyAlignment="1">
      <alignment horizontal="right"/>
    </xf>
    <xf numFmtId="17" fontId="1" fillId="3" borderId="0" xfId="0" applyNumberFormat="1" applyFont="1" applyFill="1" applyAlignment="1">
      <alignment horizontal="center"/>
    </xf>
    <xf numFmtId="0" fontId="0" fillId="2" borderId="0" xfId="0" applyFill="1" applyAlignment="1">
      <alignment horizontal="center"/>
    </xf>
    <xf numFmtId="10" fontId="0" fillId="0" borderId="0" xfId="0" applyNumberFormat="1" applyAlignment="1">
      <alignment horizontal="center"/>
    </xf>
    <xf numFmtId="9" fontId="0" fillId="0" borderId="0" xfId="0" applyNumberFormat="1" applyAlignment="1">
      <alignment horizontal="center"/>
    </xf>
    <xf numFmtId="9" fontId="0" fillId="0" borderId="0" xfId="2" applyFont="1" applyAlignment="1">
      <alignment horizontal="center"/>
    </xf>
    <xf numFmtId="0" fontId="0" fillId="4" borderId="0" xfId="0" applyFill="1" applyAlignment="1">
      <alignment horizontal="center"/>
    </xf>
    <xf numFmtId="10" fontId="0" fillId="7" borderId="0" xfId="0" applyNumberFormat="1" applyFill="1" applyAlignment="1">
      <alignment horizontal="center"/>
    </xf>
    <xf numFmtId="9" fontId="6" fillId="0" borderId="0" xfId="0" applyNumberFormat="1" applyFont="1"/>
    <xf numFmtId="9" fontId="0" fillId="0" borderId="0" xfId="0" applyNumberFormat="1"/>
    <xf numFmtId="0" fontId="4" fillId="5" borderId="0" xfId="1" applyFill="1"/>
    <xf numFmtId="0" fontId="0" fillId="0" borderId="10" xfId="0" applyBorder="1" applyAlignment="1">
      <alignment wrapText="1"/>
    </xf>
    <xf numFmtId="0" fontId="7" fillId="0" borderId="10" xfId="0" applyFont="1" applyBorder="1" applyAlignment="1">
      <alignment wrapText="1"/>
    </xf>
    <xf numFmtId="0" fontId="7" fillId="0" borderId="10" xfId="0" applyFont="1" applyBorder="1"/>
    <xf numFmtId="0" fontId="7" fillId="0" borderId="0" xfId="0" applyFont="1" applyAlignment="1">
      <alignment horizontal="left" wrapText="1"/>
    </xf>
    <xf numFmtId="0" fontId="0" fillId="0" borderId="10" xfId="0" applyBorder="1" applyAlignment="1">
      <alignment horizontal="left" vertical="top"/>
    </xf>
    <xf numFmtId="0" fontId="7" fillId="0" borderId="0" xfId="0" applyFont="1" applyAlignment="1">
      <alignment horizontal="left" vertical="top" wrapText="1"/>
    </xf>
    <xf numFmtId="164" fontId="0" fillId="0" borderId="0" xfId="0" applyNumberFormat="1" applyAlignment="1">
      <alignment horizontal="center"/>
    </xf>
    <xf numFmtId="0" fontId="0" fillId="8" borderId="0" xfId="0" applyFill="1"/>
    <xf numFmtId="9" fontId="0" fillId="9" borderId="0" xfId="0" applyNumberFormat="1" applyFill="1"/>
    <xf numFmtId="0" fontId="0" fillId="9" borderId="0" xfId="0" applyFill="1"/>
    <xf numFmtId="10" fontId="0" fillId="0" borderId="0" xfId="0" applyNumberFormat="1"/>
    <xf numFmtId="0" fontId="3" fillId="0" borderId="0" xfId="0" applyFont="1" applyAlignment="1">
      <alignment horizontal="center"/>
    </xf>
    <xf numFmtId="0" fontId="8" fillId="0" borderId="0" xfId="0" applyFont="1"/>
    <xf numFmtId="0" fontId="8" fillId="0" borderId="0" xfId="0" applyFont="1" applyAlignment="1">
      <alignment horizontal="right"/>
    </xf>
    <xf numFmtId="0" fontId="9" fillId="0" borderId="0" xfId="0" applyFont="1"/>
    <xf numFmtId="2" fontId="0" fillId="0" borderId="0" xfId="0" applyNumberFormat="1"/>
    <xf numFmtId="0" fontId="7" fillId="0" borderId="10" xfId="0" applyFont="1" applyBorder="1" applyAlignment="1">
      <alignment horizontal="center" wrapText="1"/>
    </xf>
    <xf numFmtId="0" fontId="7" fillId="0" borderId="0" xfId="0" applyFont="1" applyAlignment="1">
      <alignment horizontal="center" wrapText="1"/>
    </xf>
    <xf numFmtId="20" fontId="0" fillId="0" borderId="0" xfId="0" applyNumberFormat="1" applyAlignment="1">
      <alignment horizontal="center"/>
    </xf>
    <xf numFmtId="0" fontId="0" fillId="0" borderId="0" xfId="0" applyAlignment="1">
      <alignment horizontal="right"/>
    </xf>
    <xf numFmtId="0" fontId="7" fillId="0" borderId="10" xfId="0" applyFont="1" applyBorder="1" applyAlignment="1">
      <alignment horizontal="right" wrapText="1"/>
    </xf>
    <xf numFmtId="9" fontId="0" fillId="0" borderId="0" xfId="0" applyNumberFormat="1" applyAlignment="1">
      <alignment horizontal="right"/>
    </xf>
    <xf numFmtId="0" fontId="10" fillId="0" borderId="0" xfId="0" applyFont="1" applyAlignment="1">
      <alignment horizontal="right"/>
    </xf>
    <xf numFmtId="10" fontId="0" fillId="0" borderId="0" xfId="0" applyNumberFormat="1" applyAlignment="1">
      <alignment horizontal="right"/>
    </xf>
    <xf numFmtId="2" fontId="0" fillId="0" borderId="0" xfId="0" applyNumberFormat="1" applyAlignment="1">
      <alignment horizontal="right"/>
    </xf>
    <xf numFmtId="0" fontId="1" fillId="0" borderId="0" xfId="0" applyFont="1" applyAlignment="1">
      <alignment vertical="center"/>
    </xf>
    <xf numFmtId="0" fontId="0" fillId="0" borderId="0" xfId="0" applyAlignment="1">
      <alignment vertical="center"/>
    </xf>
    <xf numFmtId="0" fontId="0" fillId="5" borderId="0" xfId="0" applyFill="1" applyAlignment="1">
      <alignment vertical="center"/>
    </xf>
    <xf numFmtId="0" fontId="0" fillId="5" borderId="0" xfId="0" applyFill="1" applyAlignment="1">
      <alignment horizontal="left" vertical="center"/>
    </xf>
    <xf numFmtId="0" fontId="3" fillId="0" borderId="0" xfId="0" applyFont="1" applyAlignment="1">
      <alignment horizontal="center" vertical="center"/>
    </xf>
    <xf numFmtId="0" fontId="0" fillId="4" borderId="0" xfId="0" applyFill="1" applyAlignment="1">
      <alignment vertical="center"/>
    </xf>
    <xf numFmtId="0" fontId="0" fillId="2" borderId="0" xfId="0" applyFill="1" applyAlignment="1">
      <alignment vertical="center"/>
    </xf>
    <xf numFmtId="0" fontId="0" fillId="2" borderId="0" xfId="0" applyFill="1" applyAlignment="1">
      <alignment horizontal="center" vertical="center"/>
    </xf>
    <xf numFmtId="0" fontId="0" fillId="0" borderId="10" xfId="0" applyBorder="1" applyAlignment="1">
      <alignment vertical="center"/>
    </xf>
    <xf numFmtId="0" fontId="0" fillId="5" borderId="10" xfId="0" applyFill="1" applyBorder="1" applyAlignment="1">
      <alignment vertical="center"/>
    </xf>
    <xf numFmtId="0" fontId="1" fillId="3" borderId="0" xfId="0" applyFont="1" applyFill="1" applyAlignment="1">
      <alignment horizontal="right"/>
    </xf>
    <xf numFmtId="0" fontId="11" fillId="3" borderId="0" xfId="0" applyFont="1" applyFill="1"/>
    <xf numFmtId="0" fontId="11" fillId="3" borderId="0" xfId="0" applyFont="1" applyFill="1" applyAlignment="1">
      <alignment horizontal="right"/>
    </xf>
    <xf numFmtId="0" fontId="12" fillId="3" borderId="0" xfId="0" applyFont="1" applyFill="1" applyAlignment="1">
      <alignment horizontal="right"/>
    </xf>
    <xf numFmtId="0" fontId="11" fillId="3" borderId="0" xfId="0" applyFont="1" applyFill="1" applyAlignment="1">
      <alignment horizontal="center" vertical="center"/>
    </xf>
    <xf numFmtId="10" fontId="0" fillId="0" borderId="0" xfId="0" applyNumberFormat="1" applyAlignment="1">
      <alignment horizontal="center" vertical="center"/>
    </xf>
    <xf numFmtId="0" fontId="1" fillId="0" borderId="10" xfId="0" applyFont="1" applyBorder="1"/>
    <xf numFmtId="0" fontId="9" fillId="0" borderId="10" xfId="0" applyFont="1" applyBorder="1"/>
    <xf numFmtId="0" fontId="0" fillId="0" borderId="0" xfId="0" applyAlignment="1">
      <alignment horizontal="left" vertical="top"/>
    </xf>
    <xf numFmtId="0" fontId="1" fillId="0" borderId="0" xfId="0" applyFont="1" applyAlignment="1">
      <alignment horizontal="left" vertical="top"/>
    </xf>
    <xf numFmtId="0" fontId="1" fillId="0" borderId="10" xfId="0" applyFont="1" applyBorder="1" applyAlignment="1">
      <alignment horizontal="left" vertical="top"/>
    </xf>
    <xf numFmtId="0" fontId="7" fillId="0" borderId="10" xfId="0" applyFont="1" applyBorder="1" applyAlignment="1">
      <alignment horizontal="left" vertical="top" wrapText="1"/>
    </xf>
    <xf numFmtId="0" fontId="0" fillId="0" borderId="0" xfId="0" applyAlignment="1">
      <alignment horizontal="left" wrapText="1"/>
    </xf>
    <xf numFmtId="0" fontId="14" fillId="0" borderId="0" xfId="0" applyFont="1"/>
    <xf numFmtId="0" fontId="7" fillId="0" borderId="10" xfId="0" applyFont="1" applyBorder="1" applyAlignment="1">
      <alignment vertical="center" wrapText="1"/>
    </xf>
    <xf numFmtId="0" fontId="0" fillId="0" borderId="0" xfId="0" applyAlignment="1">
      <alignment horizontal="left" vertical="center"/>
    </xf>
    <xf numFmtId="0" fontId="7" fillId="0" borderId="10" xfId="0" applyFont="1" applyBorder="1" applyAlignment="1">
      <alignment horizontal="left" wrapText="1"/>
    </xf>
    <xf numFmtId="0" fontId="0" fillId="0" borderId="10" xfId="0" applyBorder="1" applyAlignment="1">
      <alignment horizontal="left"/>
    </xf>
    <xf numFmtId="0" fontId="7" fillId="0" borderId="0" xfId="0" applyFont="1" applyAlignment="1">
      <alignment horizontal="left" vertical="center" wrapText="1"/>
    </xf>
    <xf numFmtId="0" fontId="7" fillId="0" borderId="10" xfId="0" applyFont="1" applyBorder="1" applyAlignment="1">
      <alignment horizontal="left" vertical="center" wrapText="1"/>
    </xf>
    <xf numFmtId="0" fontId="0" fillId="0" borderId="10" xfId="0" applyBorder="1" applyAlignment="1">
      <alignment horizontal="left" vertical="center"/>
    </xf>
    <xf numFmtId="0" fontId="7" fillId="0" borderId="0" xfId="0" applyFont="1" applyAlignment="1">
      <alignment wrapText="1"/>
    </xf>
    <xf numFmtId="0" fontId="7" fillId="0" borderId="0" xfId="0" applyFont="1" applyAlignment="1">
      <alignment vertical="center" wrapText="1"/>
    </xf>
    <xf numFmtId="0" fontId="17" fillId="0" borderId="0" xfId="0" applyFont="1" applyAlignment="1">
      <alignment wrapText="1"/>
    </xf>
    <xf numFmtId="0" fontId="0" fillId="0" borderId="11" xfId="0" applyBorder="1" applyAlignment="1">
      <alignment horizontal="center" vertical="center"/>
    </xf>
    <xf numFmtId="1" fontId="0" fillId="0" borderId="0" xfId="0" applyNumberFormat="1" applyAlignment="1">
      <alignment horizontal="center"/>
    </xf>
    <xf numFmtId="0" fontId="17" fillId="0" borderId="0" xfId="0" applyFont="1" applyAlignment="1">
      <alignment horizontal="left" wrapText="1"/>
    </xf>
    <xf numFmtId="0" fontId="19" fillId="0" borderId="0" xfId="0" applyFont="1" applyAlignment="1">
      <alignment wrapText="1"/>
    </xf>
    <xf numFmtId="0" fontId="16" fillId="0" borderId="0" xfId="0" applyFont="1" applyAlignment="1">
      <alignment horizontal="left" vertical="center" wrapText="1"/>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D0EACF00-637D-473F-A2BD-529FD632F2CC}">
    <Anchor>
      <Comment id="{B9863965-9074-4CB8-BEBD-DB9242D9EB96}"/>
    </Anchor>
    <History>
      <Event time="2026-04-02T10:51:15.80" id="{180FAE7B-5902-4B7F-B0FE-77539F3936C1}">
        <Attribution userId="S::DSchiff1@paylocity.com::eea68032-6692-4cf0-a04b-8cc0fcbbf29a" userName="Dan Schiff" userProvider="AD"/>
        <Anchor>
          <Comment id="{9D27CA7C-3E4C-478D-8661-2FF686EB6384}"/>
        </Anchor>
        <Create/>
      </Event>
      <Event time="2026-04-02T10:51:15.80" id="{3788CDE2-7391-45DC-8F39-A938B2AA3664}">
        <Attribution userId="S::DSchiff1@paylocity.com::eea68032-6692-4cf0-a04b-8cc0fcbbf29a" userName="Dan Schiff" userProvider="AD"/>
        <Anchor>
          <Comment id="{9D27CA7C-3E4C-478D-8661-2FF686EB6384}"/>
        </Anchor>
        <Assign userId="S::jbasilio@paylocity.com::f3935f92-2047-48a3-b0cb-ed015dbd5992" userName="Jose Basilio" userProvider="AD"/>
      </Event>
      <Event time="2026-04-02T10:51:15.80" id="{1688980B-7D01-4824-8BF6-92398FAD1DD1}">
        <Attribution userId="S::DSchiff1@paylocity.com::eea68032-6692-4cf0-a04b-8cc0fcbbf29a" userName="Dan Schiff" userProvider="AD"/>
        <Anchor>
          <Comment id="{9D27CA7C-3E4C-478D-8661-2FF686EB6384}"/>
        </Anchor>
        <SetTitle title="Thanks @Jose Basilio approximately where would you expect this to land next month?"/>
      </Event>
      <Event time="2026-04-02T17:11:13.18" id="{CCFBD88B-0F59-44EF-8ABB-7E427FBB0440}">
        <Attribution userId="S::DSchiff1@paylocity.com::eea68032-6692-4cf0-a04b-8cc0fcbbf29a" userName="Dan Schiff" userProvider="AD"/>
        <Progress percentComplete="100"/>
      </Event>
    </History>
  </Task>
  <Task id="{20CEF700-BCF5-47E5-80D5-70A49263E0C1}">
    <Anchor>
      <Comment id="{C00FEC15-A220-4C8D-AFD8-467725CA4437}"/>
    </Anchor>
    <History>
      <Event time="2026-04-02T10:54:26.20" id="{76BA3E43-D329-42E6-A7F7-CEFF8BB4EBD3}">
        <Attribution userId="S::DSchiff1@paylocity.com::eea68032-6692-4cf0-a04b-8cc0fcbbf29a" userName="Dan Schiff" userProvider="AD"/>
        <Anchor>
          <Comment id="{C00FEC15-A220-4C8D-AFD8-467725CA4437}"/>
        </Anchor>
        <Create/>
      </Event>
      <Event time="2026-04-02T10:54:26.20" id="{D23F6745-F9AC-4D43-ABCF-881AB3BCF246}">
        <Attribution userId="S::DSchiff1@paylocity.com::eea68032-6692-4cf0-a04b-8cc0fcbbf29a" userName="Dan Schiff" userProvider="AD"/>
        <Anchor>
          <Comment id="{C00FEC15-A220-4C8D-AFD8-467725CA4437}"/>
        </Anchor>
        <Assign userId="S::CMiller5@Paylocity.com::78fca601-f276-4c30-8acc-fa7b91fd7d8e" userName="Cory Miller" userProvider="AD"/>
      </Event>
      <Event time="2026-04-02T10:54:26.20" id="{BCA01BD7-F6C1-43DF-8C4C-789D10388769}">
        <Attribution userId="S::DSchiff1@paylocity.com::eea68032-6692-4cf0-a04b-8cc0fcbbf29a" userName="Dan Schiff" userProvider="AD"/>
        <Anchor>
          <Comment id="{C00FEC15-A220-4C8D-AFD8-467725CA4437}"/>
        </Anchor>
        <SetTitle title="@Cory Miller @Jenny Weaver anything you all did to drive this down, or more likely an anomaly?"/>
      </Event>
      <Event time="2026-04-02T14:05:45.69" id="{A4FD362D-C006-4484-A679-F48496AA0388}">
        <Attribution userId="S::DSchiff1@paylocity.com::eea68032-6692-4cf0-a04b-8cc0fcbbf29a" userName="Dan Schiff" userProvider="AD"/>
        <Progress percentComplete="100"/>
      </Event>
    </History>
  </Task>
  <Task id="{29F3340B-F32E-43FE-8FE3-BEAA7F2FB091}">
    <Anchor>
      <Comment id="{9C89181D-C23C-443D-9D39-B0E8432148B4}"/>
    </Anchor>
    <History>
      <Event time="2026-04-02T10:47:44.58" id="{06F6EB97-93F4-42B9-BDA5-12A47390116C}">
        <Attribution userId="S::DSchiff1@paylocity.com::eea68032-6692-4cf0-a04b-8cc0fcbbf29a" userName="Dan Schiff" userProvider="AD"/>
        <Anchor>
          <Comment id="{9C89181D-C23C-443D-9D39-B0E8432148B4}"/>
        </Anchor>
        <Create/>
      </Event>
      <Event time="2026-04-02T10:47:44.58" id="{F79542B1-C2B7-4A62-886C-C0CFC32CC448}">
        <Attribution userId="S::DSchiff1@paylocity.com::eea68032-6692-4cf0-a04b-8cc0fcbbf29a" userName="Dan Schiff" userProvider="AD"/>
        <Anchor>
          <Comment id="{9C89181D-C23C-443D-9D39-B0E8432148B4}"/>
        </Anchor>
        <Assign userId="S::tromey@paylocity.com::b06824af-af48-4af1-adc2-1fd6658f0a1a" userName="Trevor Romey" userProvider="AD"/>
      </Event>
      <Event time="2026-04-02T10:47:44.58" id="{E89BF754-5581-46F5-9B63-1F8F9644643E}">
        <Attribution userId="S::DSchiff1@paylocity.com::eea68032-6692-4cf0-a04b-8cc0fcbbf29a" userName="Dan Schiff" userProvider="AD"/>
        <Anchor>
          <Comment id="{9C89181D-C23C-443D-9D39-B0E8432148B4}"/>
        </Anchor>
        <SetTitle title="@Trevor Romey @Jenny Weaver insight into this increase?"/>
      </Event>
      <Event time="2026-04-02T16:46:06.17" id="{CD1D7723-3B91-4794-A1FE-81AF832729BF}">
        <Attribution userId="S::tromey@paylocity.com::b06824af-af48-4af1-adc2-1fd6658f0a1a" userName="Trevor Romey" userProvider="AD"/>
        <Progress percentComplete="100"/>
      </Event>
    </History>
  </Task>
  <Task id="{39D65210-597C-4807-87A9-BB97EEB7E63E}">
    <Anchor>
      <Comment id="{B78890CE-3469-4264-A708-4F67DA739F8E}"/>
    </Anchor>
    <History>
      <Event time="2026-04-02T10:45:32.37" id="{7DE24331-FF79-4672-B87E-E877F9000165}">
        <Attribution userId="S::DSchiff1@paylocity.com::eea68032-6692-4cf0-a04b-8cc0fcbbf29a" userName="Dan Schiff" userProvider="AD"/>
        <Anchor>
          <Comment id="{B78890CE-3469-4264-A708-4F67DA739F8E}"/>
        </Anchor>
        <Create/>
      </Event>
      <Event time="2026-04-02T10:45:32.37" id="{636E0DFF-102C-4EB6-8F0B-9FDCE20CC98F}">
        <Attribution userId="S::DSchiff1@paylocity.com::eea68032-6692-4cf0-a04b-8cc0fcbbf29a" userName="Dan Schiff" userProvider="AD"/>
        <Anchor>
          <Comment id="{B78890CE-3469-4264-A708-4F67DA739F8E}"/>
        </Anchor>
        <Assign userId="S::ahunter2@paylocity.com::cfde8d4f-52d0-4ede-9172-11b6fa8c3c49" userName="Austin Hunter" userProvider="AD"/>
      </Event>
      <Event time="2026-04-02T10:45:32.37" id="{5A9E6D18-1328-45FF-B84B-14BD590682AF}">
        <Attribution userId="S::DSchiff1@paylocity.com::eea68032-6692-4cf0-a04b-8cc0fcbbf29a" userName="Dan Schiff" userProvider="AD"/>
        <Anchor>
          <Comment id="{B78890CE-3469-4264-A708-4F67DA739F8E}"/>
        </Anchor>
        <SetTitle title="@Austin Hunter @Stephen Hubbard this is a “large” number for R&amp;R. Any theme or pattern? Are these related to recent releases?"/>
      </Event>
      <Event time="2026-04-02T17:08:55.77" id="{F99431C3-FD85-4613-9B78-2342ADBF0C2F}">
        <Attribution userId="S::DSchiff1@paylocity.com::eea68032-6692-4cf0-a04b-8cc0fcbbf29a" userName="Dan Schiff" userProvider="AD"/>
        <Progress percentComplete="100"/>
      </Event>
    </History>
  </Task>
  <Task id="{8BA8DE1D-37A6-4DB9-A495-82F5E50C6F3E}">
    <Anchor>
      <Comment id="{AA6BB827-E35E-49BE-A6B6-CFEF3F42CEE9}"/>
    </Anchor>
    <History>
      <Event time="2025-12-03T14:19:08.65" id="{40146244-199C-4D99-8E8F-3A5E98813A2C}">
        <Attribution userId="S::DSchiff1@paylocity.com::eea68032-6692-4cf0-a04b-8cc0fcbbf29a" userName="Dan Schiff" userProvider="AD"/>
        <Anchor>
          <Comment id="{AA6BB827-E35E-49BE-A6B6-CFEF3F42CEE9}"/>
        </Anchor>
        <Create/>
      </Event>
      <Event time="2025-12-03T14:19:08.65" id="{A65F9BA2-DA8C-4C61-8B94-5F2DFFB18385}">
        <Attribution userId="S::DSchiff1@paylocity.com::eea68032-6692-4cf0-a04b-8cc0fcbbf29a" userName="Dan Schiff" userProvider="AD"/>
        <Anchor>
          <Comment id="{AA6BB827-E35E-49BE-A6B6-CFEF3F42CEE9}"/>
        </Anchor>
        <Assign userId="S::tromey@paylocity.com::b06824af-af48-4af1-adc2-1fd6658f0a1a" userName="Trevor Romey" userProvider="AD"/>
      </Event>
      <Event time="2025-12-03T14:19:08.65" id="{04F15976-24E3-4C24-B366-AF07B33923B9}">
        <Attribution userId="S::DSchiff1@paylocity.com::eea68032-6692-4cf0-a04b-8cc0fcbbf29a" userName="Dan Schiff" userProvider="AD"/>
        <Anchor>
          <Comment id="{AA6BB827-E35E-49BE-A6B6-CFEF3F42CEE9}"/>
        </Anchor>
        <SetTitle title="@Trevor Romey @Bob Baird this seems to fluctuate. Is there any underlying theme here?"/>
      </Event>
      <Event time="2025-12-04T13:03:14.21" id="{E70C456E-9D90-40E1-AEF3-5F992A395860}">
        <Attribution userId="S::DSchiff1@paylocity.com::eea68032-6692-4cf0-a04b-8cc0fcbbf29a" userName="Dan Schiff" userProvider="AD"/>
        <Progress percentComplete="100"/>
      </Event>
      <Event time="2025-12-09T18:57:54.73" id="{F9A4CAB8-12E2-4763-B7FD-C629DA373068}">
        <Attribution userId="S::bbaird@paylocity.com::275d4edb-5088-49a4-8215-219320730dba" userName="Bob Baird" userProvider="AD"/>
        <Progress percentComplete="0"/>
      </Event>
      <Event time="2026-04-02T16:45:53.39" id="{608276B3-9CAE-4BA5-910F-15C3BC58CBA0}">
        <Attribution userId="S::tromey@paylocity.com::b06824af-af48-4af1-adc2-1fd6658f0a1a" userName="Trevor Romey" userProvider="AD"/>
        <Progress percentComplete="100"/>
      </Event>
    </History>
  </Task>
  <Task id="{5279EF2C-5A08-4C21-93A4-44DF430D1393}">
    <Anchor>
      <Comment id="{FE52AFEF-A40D-4EA1-9554-54EA1EDC5CEA}"/>
    </Anchor>
    <History>
      <Event time="2025-12-03T14:27:38.24" id="{CE36FFDD-6CD5-48C5-9422-B850F226D16B}">
        <Attribution userId="S::DSchiff1@paylocity.com::eea68032-6692-4cf0-a04b-8cc0fcbbf29a" userName="Dan Schiff" userProvider="AD"/>
        <Anchor>
          <Comment id="{FE52AFEF-A40D-4EA1-9554-54EA1EDC5CEA}"/>
        </Anchor>
        <Create/>
      </Event>
      <Event time="2025-12-03T14:27:38.24" id="{0A28D40E-9D59-4B86-96A0-01BEAEB0D736}">
        <Attribution userId="S::DSchiff1@paylocity.com::eea68032-6692-4cf0-a04b-8cc0fcbbf29a" userName="Dan Schiff" userProvider="AD"/>
        <Anchor>
          <Comment id="{FE52AFEF-A40D-4EA1-9554-54EA1EDC5CEA}"/>
        </Anchor>
        <Assign userId="S::rcrismariu@paylocity.com::0d1d862a-8797-4630-af9c-76e7c1de7662" userName="Ruben Crismariu" userProvider="AD"/>
      </Event>
      <Event time="2025-12-03T14:27:38.24" id="{E3380712-AAF0-4830-AE2B-0F14CA03D7B3}">
        <Attribution userId="S::DSchiff1@paylocity.com::eea68032-6692-4cf0-a04b-8cc0fcbbf29a" userName="Dan Schiff" userProvider="AD"/>
        <Anchor>
          <Comment id="{FE52AFEF-A40D-4EA1-9554-54EA1EDC5CEA}"/>
        </Anchor>
        <SetTitle title="@Ruben Crismariu @Stephen Hubbard why the Cycle Time jump in Nov? Is the team doing anything to try to stabilize this?"/>
      </Event>
      <Event time="2025-12-04T16:17:42.53" id="{D0E68513-0D45-4AA4-AF95-E870F78799E4}">
        <Attribution userId="S::rcrismariu@paylocity.com::0d1d862a-8797-4630-af9c-76e7c1de7662" userName="Ruben Crismariu" userProvider="AD"/>
        <Progress percentComplete="100"/>
      </Event>
    </History>
  </Task>
  <Task id="{C530F936-F974-4A0E-9543-30E44C9F1522}">
    <Anchor>
      <Comment id="{F05A1553-BAE9-4A9B-BF2B-7738E4EB8C92}"/>
    </Anchor>
    <History>
      <Event time="2026-04-02T11:15:24.04" id="{70F27410-20ED-4629-9A0A-5BE4FEFFC6B9}">
        <Attribution userId="S::DSchiff1@paylocity.com::eea68032-6692-4cf0-a04b-8cc0fcbbf29a" userName="Dan Schiff" userProvider="AD"/>
        <Anchor>
          <Comment id="{F05A1553-BAE9-4A9B-BF2B-7738E4EB8C92}"/>
        </Anchor>
        <Create/>
      </Event>
      <Event time="2026-04-02T11:15:24.04" id="{7B568AC7-2D31-4597-8292-4AED39C88B5C}">
        <Attribution userId="S::DSchiff1@paylocity.com::eea68032-6692-4cf0-a04b-8cc0fcbbf29a" userName="Dan Schiff" userProvider="AD"/>
        <Anchor>
          <Comment id="{F05A1553-BAE9-4A9B-BF2B-7738E4EB8C92}"/>
        </Anchor>
        <Assign userId="S::mjohlic@paylocity.com::5eff6236-a4ca-42e1-b7c9-96bc6d37c78f" userName="Monica Johlic" userProvider="AD"/>
      </Event>
      <Event time="2026-04-02T11:15:24.04" id="{957ECA68-771C-4F58-9472-FA135F616FB6}">
        <Attribution userId="S::DSchiff1@paylocity.com::eea68032-6692-4cf0-a04b-8cc0fcbbf29a" userName="Dan Schiff" userProvider="AD"/>
        <Anchor>
          <Comment id="{F05A1553-BAE9-4A9B-BF2B-7738E4EB8C92}"/>
        </Anchor>
        <SetTitle title="@Monica Johlic @Stephen Hubbard interesting upward trend here! What do you attribute this to? Any specific actions taken? "/>
      </Event>
      <Event time="2026-04-02T17:23:39.08" id="{D86936EC-2B43-49E2-BAAE-11F73D9F262A}">
        <Attribution userId="S::DSchiff1@paylocity.com::eea68032-6692-4cf0-a04b-8cc0fcbbf29a" userName="Dan Schiff" userProvider="AD"/>
        <Progress percentComplete="100"/>
      </Event>
    </History>
  </Task>
  <Task id="{46CC0438-61A4-4929-B9D1-B0E9DF4B21B1}">
    <Anchor>
      <Comment id="{4F12BE59-168D-4EFF-9481-47B9AB7A0FB1}"/>
    </Anchor>
    <History>
      <Event time="2026-04-02T11:07:16.37" id="{A525F037-41D0-4BDD-9F33-B57386824414}">
        <Attribution userId="S::DSchiff1@paylocity.com::eea68032-6692-4cf0-a04b-8cc0fcbbf29a" userName="Dan Schiff" userProvider="AD"/>
        <Anchor>
          <Comment id="{4F12BE59-168D-4EFF-9481-47B9AB7A0FB1}"/>
        </Anchor>
        <Create/>
      </Event>
      <Event time="2026-04-02T11:07:16.37" id="{6A69BE42-B7F0-4D9F-93C9-FB2354262ED0}">
        <Attribution userId="S::DSchiff1@paylocity.com::eea68032-6692-4cf0-a04b-8cc0fcbbf29a" userName="Dan Schiff" userProvider="AD"/>
        <Anchor>
          <Comment id="{4F12BE59-168D-4EFF-9481-47B9AB7A0FB1}"/>
        </Anchor>
        <Assign userId="S::dewing@paylocity.com::c577fc8d-b07e-4e05-9898-338b8a57958b" userName="David Ewing" userProvider="AD"/>
      </Event>
      <Event time="2026-04-02T11:07:16.37" id="{A6645674-2EA4-48BA-9AAD-5935158DAD25}">
        <Attribution userId="S::DSchiff1@paylocity.com::eea68032-6692-4cf0-a04b-8cc0fcbbf29a" userName="Dan Schiff" userProvider="AD"/>
        <Anchor>
          <Comment id="{4F12BE59-168D-4EFF-9481-47B9AB7A0FB1}"/>
        </Anchor>
        <SetTitle title="@David Ewing @Stephen Hubbard anything you all are doing to try to increase predictability? Surprised to not see an action plan around this."/>
      </Event>
      <Event time="2026-04-02T17:14:10.29" id="{6A854E30-D12F-420A-BF5E-954AFE1EE00C}">
        <Attribution userId="S::DSchiff1@paylocity.com::eea68032-6692-4cf0-a04b-8cc0fcbbf29a" userName="Dan Schiff" userProvider="AD"/>
        <Progress percentComplete="100"/>
      </Event>
    </History>
  </Task>
  <Task id="{3C7A5942-B80C-4C87-9653-885A7F495DCB}">
    <Anchor>
      <Comment id="{7390BA02-84A3-460D-824D-C1C4C95400DB}"/>
    </Anchor>
    <History>
      <Event time="2025-12-03T14:28:17.53" id="{C4FAED2C-6DB0-4FA8-9422-503FDEE9859F}">
        <Attribution userId="S::DSchiff1@paylocity.com::eea68032-6692-4cf0-a04b-8cc0fcbbf29a" userName="Dan Schiff" userProvider="AD"/>
        <Anchor>
          <Comment id="{7390BA02-84A3-460D-824D-C1C4C95400DB}"/>
        </Anchor>
        <Create/>
      </Event>
      <Event time="2025-12-03T14:28:17.53" id="{7F5CDEA6-AF80-42C3-B6AD-C53633F6C6E4}">
        <Attribution userId="S::DSchiff1@paylocity.com::eea68032-6692-4cf0-a04b-8cc0fcbbf29a" userName="Dan Schiff" userProvider="AD"/>
        <Anchor>
          <Comment id="{7390BA02-84A3-460D-824D-C1C4C95400DB}"/>
        </Anchor>
        <Assign userId="S::rcrismariu@paylocity.com::0d1d862a-8797-4630-af9c-76e7c1de7662" userName="Ruben Crismariu" userProvider="AD"/>
      </Event>
      <Event time="2025-12-03T14:28:17.53" id="{9C208A5B-AA92-48A5-8767-40AF286FFC5D}">
        <Attribution userId="S::DSchiff1@paylocity.com::eea68032-6692-4cf0-a04b-8cc0fcbbf29a" userName="Dan Schiff" userProvider="AD"/>
        <Anchor>
          <Comment id="{7390BA02-84A3-460D-824D-C1C4C95400DB}"/>
        </Anchor>
        <SetTitle title="@Ruben Crismariu @Stephen Hubbard Seeing a trend up for PDRs - what is driving this? Is it tied to a release?"/>
      </Event>
      <Event time="2025-12-04T15:48:27.57" id="{31F2E7F0-F068-4E18-B3E8-46114A2143B8}">
        <Attribution userId="S::rcrismariu@paylocity.com::0d1d862a-8797-4630-af9c-76e7c1de7662" userName="Ruben Crismariu" userProvider="AD"/>
        <Progress percentComplete="100"/>
      </Event>
    </History>
  </Task>
  <Task id="{1F4D084E-7B61-4EA2-9B07-667A1DEC2C65}">
    <Anchor>
      <Comment id="{768C008D-E8FE-466E-A170-B11D5632336D}"/>
    </Anchor>
    <History>
      <Event time="2026-04-02T10:55:49.67" id="{B694CF02-97A9-4CFA-88A2-1FC40AF2EF24}">
        <Attribution userId="S::DSchiff1@paylocity.com::eea68032-6692-4cf0-a04b-8cc0fcbbf29a" userName="Dan Schiff" userProvider="AD"/>
        <Anchor>
          <Comment id="{768C008D-E8FE-466E-A170-B11D5632336D}"/>
        </Anchor>
        <Create/>
      </Event>
      <Event time="2026-04-02T10:55:49.67" id="{D09E1193-B45C-4799-8F31-4CFC6D9F45D6}">
        <Attribution userId="S::DSchiff1@paylocity.com::eea68032-6692-4cf0-a04b-8cc0fcbbf29a" userName="Dan Schiff" userProvider="AD"/>
        <Anchor>
          <Comment id="{768C008D-E8FE-466E-A170-B11D5632336D}"/>
        </Anchor>
        <Assign userId="S::jbasilio@paylocity.com::f3935f92-2047-48a3-b0cb-ed015dbd5992" userName="Jose Basilio" userProvider="AD"/>
      </Event>
      <Event time="2026-04-02T10:55:49.67" id="{F712C90E-D206-4472-A890-81DCA9BE1FB3}">
        <Attribution userId="S::DSchiff1@paylocity.com::eea68032-6692-4cf0-a04b-8cc0fcbbf29a" userName="Dan Schiff" userProvider="AD"/>
        <Anchor>
          <Comment id="{768C008D-E8FE-466E-A170-B11D5632336D}"/>
        </Anchor>
        <SetTitle title="@Jose Basilio @Jenny Weaver I know of the two Sev3 incidents over the last couple months, what’s the third one? Was that just one that impacted Recruiting?"/>
      </Event>
      <Event time="2026-04-02T14:29:25.06" id="{59C3E6B0-AAE4-4CBA-BD37-4BEF1B008538}">
        <Attribution userId="S::jbasilio@paylocity.com::f3935f92-2047-48a3-b0cb-ed015dbd5992" userName="Jose Basilio" userProvider="AD"/>
        <Progress percentComplete="100"/>
      </Event>
    </History>
  </Task>
  <Task id="{1FF6F15C-3B05-464F-AF46-716BF69313C6}">
    <Anchor>
      <Comment id="{E8DDEDF3-F747-4FC1-99E0-8AA7C4452E7E}"/>
    </Anchor>
    <History>
      <Event time="2026-04-02T11:10:07.79" id="{918A3464-E296-48A4-9BFF-5182BAC679B9}">
        <Attribution userId="S::DSchiff1@paylocity.com::eea68032-6692-4cf0-a04b-8cc0fcbbf29a" userName="Dan Schiff" userProvider="AD"/>
        <Anchor>
          <Comment id="{E8DDEDF3-F747-4FC1-99E0-8AA7C4452E7E}"/>
        </Anchor>
        <Create/>
      </Event>
      <Event time="2026-04-02T11:10:07.79" id="{E459B23C-BA13-458E-8E75-9D4888F200B6}">
        <Attribution userId="S::DSchiff1@paylocity.com::eea68032-6692-4cf0-a04b-8cc0fcbbf29a" userName="Dan Schiff" userProvider="AD"/>
        <Anchor>
          <Comment id="{E8DDEDF3-F747-4FC1-99E0-8AA7C4452E7E}"/>
        </Anchor>
        <Assign userId="S::rcrismariu@paylocity.com::0d1d862a-8797-4630-af9c-76e7c1de7662" userName="Ruben Crismariu" userProvider="AD"/>
      </Event>
      <Event time="2026-04-02T11:10:07.79" id="{00EC69D2-1C4B-42B9-890D-32251F17A388}">
        <Attribution userId="S::DSchiff1@paylocity.com::eea68032-6692-4cf0-a04b-8cc0fcbbf29a" userName="Dan Schiff" userProvider="AD"/>
        <Anchor>
          <Comment id="{E8DDEDF3-F747-4FC1-99E0-8AA7C4452E7E}"/>
        </Anchor>
        <SetTitle title="@Ruben Crismariu @Stephen Hubbard very nice sprint predictability over the last three months. Anything you all have been doing to drive this?"/>
      </Event>
      <Event time="2026-04-02T17:00:49.76" id="{6CFBE9E3-A3BD-4DE4-A2AE-F509E8B1EBB1}">
        <Attribution userId="S::rcrismariu@paylocity.com::0d1d862a-8797-4630-af9c-76e7c1de7662" userName="Ruben Crismariu" userProvider="AD"/>
        <Progress percentComplete="100"/>
      </Event>
    </History>
  </Task>
  <Task id="{F5593463-8F9B-4964-9964-767C7B54B49D}">
    <Anchor>
      <Comment id="{320A136F-3888-4843-BB29-DDB20EE5A2D8}"/>
    </Anchor>
    <History>
      <Event time="2026-04-02T11:14:03.99" id="{21521679-EE9C-4CC5-BDF8-8493A9AC4E1D}">
        <Attribution userId="S::DSchiff1@paylocity.com::eea68032-6692-4cf0-a04b-8cc0fcbbf29a" userName="Dan Schiff" userProvider="AD"/>
        <Anchor>
          <Comment id="{320A136F-3888-4843-BB29-DDB20EE5A2D8}"/>
        </Anchor>
        <Create/>
      </Event>
      <Event time="2026-04-02T11:14:03.99" id="{6868B365-37A9-4330-B8A2-04979D734714}">
        <Attribution userId="S::DSchiff1@paylocity.com::eea68032-6692-4cf0-a04b-8cc0fcbbf29a" userName="Dan Schiff" userProvider="AD"/>
        <Anchor>
          <Comment id="{320A136F-3888-4843-BB29-DDB20EE5A2D8}"/>
        </Anchor>
        <Assign userId="S::mjohlic@paylocity.com::5eff6236-a4ca-42e1-b7c9-96bc6d37c78f" userName="Monica Johlic" userProvider="AD"/>
      </Event>
      <Event time="2026-04-02T11:14:03.99" id="{B2C7C91E-E912-4BF9-BED6-B21DCB701744}">
        <Attribution userId="S::DSchiff1@paylocity.com::eea68032-6692-4cf0-a04b-8cc0fcbbf29a" userName="Dan Schiff" userProvider="AD"/>
        <Anchor>
          <Comment id="{320A136F-3888-4843-BB29-DDB20EE5A2D8}"/>
        </Anchor>
        <SetTitle title="@Monica Johlic @Stephen Hubbard seeing an uptick the last couple months. Any themes or trends here? Was this related to any recent releases?"/>
      </Event>
      <Event time="2026-04-02T17:22:07.70" id="{48360EC3-C2E9-4C91-B536-5C7637D9771C}">
        <Attribution userId="S::DSchiff1@paylocity.com::eea68032-6692-4cf0-a04b-8cc0fcbbf29a" userName="Dan Schiff" userProvider="AD"/>
        <Progress percentComplete="100"/>
      </Event>
    </History>
  </Task>
  <Task id="{CE5FA668-FC3A-4109-B828-4B486F0A0A5E}">
    <Anchor>
      <Comment id="{03DF81B8-1468-45D2-9488-872129B913E9}"/>
    </Anchor>
    <History>
      <Event time="2026-04-02T11:22:13.23" id="{8572F342-02B8-428B-9528-996296FEE2F9}">
        <Attribution userId="S::DSchiff1@paylocity.com::eea68032-6692-4cf0-a04b-8cc0fcbbf29a" userName="Dan Schiff" userProvider="AD"/>
        <Anchor>
          <Comment id="{03DF81B8-1468-45D2-9488-872129B913E9}"/>
        </Anchor>
        <Create/>
      </Event>
      <Event time="2026-04-02T11:22:13.23" id="{7D95D0B3-3908-4067-AB3D-664EE092B0A3}">
        <Attribution userId="S::DSchiff1@paylocity.com::eea68032-6692-4cf0-a04b-8cc0fcbbf29a" userName="Dan Schiff" userProvider="AD"/>
        <Anchor>
          <Comment id="{03DF81B8-1468-45D2-9488-872129B913E9}"/>
        </Anchor>
        <Assign userId="S::BPrendergast@Paylocity.com::d99ce3d6-6529-49ad-b40e-b7781c96fb2c" userName="Bryan Prendergast" userProvider="AD"/>
      </Event>
      <Event time="2026-04-02T11:22:13.23" id="{4A718343-48AD-45AA-AFEA-8A9434A75639}">
        <Attribution userId="S::DSchiff1@paylocity.com::eea68032-6692-4cf0-a04b-8cc0fcbbf29a" userName="Dan Schiff" userProvider="AD"/>
        <Anchor>
          <Comment id="{03DF81B8-1468-45D2-9488-872129B913E9}"/>
        </Anchor>
        <SetTitle title="@Bryan Prendergast @Stephen Hubbard I would rethink this one. Goal is to implement process improvements to improve something ongoing, not just a one-time thing. E.g. maybe goal is to improve the created:resolved ratio (see some of the other teams who…"/>
      </Event>
      <Event time="2026-04-02T17:13:58.23" id="{3F422AB9-A9C5-4205-9B9B-5C029756DF51}">
        <Attribution userId="S::DSchiff1@paylocity.com::eea68032-6692-4cf0-a04b-8cc0fcbbf29a" userName="Dan Schiff" userProvider="AD"/>
        <Progress percentComplete="100"/>
      </Event>
    </History>
  </Task>
  <Task id="{37BB3370-2961-4172-80CE-1B57D646401B}">
    <Anchor>
      <Comment id="{AAA80C4E-2971-42CC-8528-87C27B9E056F}"/>
    </Anchor>
    <History>
      <Event time="2026-04-02T11:09:16.78" id="{ECDAA5D8-3681-4FE5-A842-85A510DB7C30}">
        <Attribution userId="S::DSchiff1@paylocity.com::eea68032-6692-4cf0-a04b-8cc0fcbbf29a" userName="Dan Schiff" userProvider="AD"/>
        <Anchor>
          <Comment id="{AAA80C4E-2971-42CC-8528-87C27B9E056F}"/>
        </Anchor>
        <Create/>
      </Event>
      <Event time="2026-04-02T11:09:16.78" id="{87D09C1E-0946-47F8-AC12-6DAD9C56CED8}">
        <Attribution userId="S::DSchiff1@paylocity.com::eea68032-6692-4cf0-a04b-8cc0fcbbf29a" userName="Dan Schiff" userProvider="AD"/>
        <Anchor>
          <Comment id="{AAA80C4E-2971-42CC-8528-87C27B9E056F}"/>
        </Anchor>
        <Assign userId="S::rcrismariu@paylocity.com::0d1d862a-8797-4630-af9c-76e7c1de7662" userName="Ruben Crismariu" userProvider="AD"/>
      </Event>
      <Event time="2026-04-02T11:09:16.78" id="{53CB7F43-CF3A-46A3-8A19-C26BA2DAF8B8}">
        <Attribution userId="S::DSchiff1@paylocity.com::eea68032-6692-4cf0-a04b-8cc0fcbbf29a" userName="Dan Schiff" userProvider="AD"/>
        <Anchor>
          <Comment id="{AAA80C4E-2971-42CC-8528-87C27B9E056F}"/>
        </Anchor>
        <SetTitle title="@Ruben Crismariu @Stephen Hubbard should be 100% no?"/>
      </Event>
      <Event time="2026-04-02T16:58:59.19" id="{9DCF2D50-78F7-4C65-9D03-F59043CA9078}">
        <Attribution userId="S::rcrismariu@paylocity.com::0d1d862a-8797-4630-af9c-76e7c1de7662" userName="Ruben Crismariu" userProvider="AD"/>
        <Progress percentComplete="100"/>
      </Event>
    </History>
  </Task>
  <Task id="{14BF6974-6ACF-48BC-BB7F-8A17E15A90EE}">
    <Anchor>
      <Comment id="{13698C37-6222-4173-9103-C7977F3D9517}"/>
    </Anchor>
    <History>
      <Event time="2026-04-02T10:48:54.10" id="{42AF8A2E-E491-4E4B-9027-35EB5D0FB792}">
        <Attribution userId="S::DSchiff1@paylocity.com::eea68032-6692-4cf0-a04b-8cc0fcbbf29a" userName="Dan Schiff" userProvider="AD"/>
        <Anchor>
          <Comment id="{13698C37-6222-4173-9103-C7977F3D9517}"/>
        </Anchor>
        <Create/>
      </Event>
      <Event time="2026-04-02T10:48:54.10" id="{F6E9DA91-5351-4596-BE78-99D811FBE097}">
        <Attribution userId="S::DSchiff1@paylocity.com::eea68032-6692-4cf0-a04b-8cc0fcbbf29a" userName="Dan Schiff" userProvider="AD"/>
        <Anchor>
          <Comment id="{13698C37-6222-4173-9103-C7977F3D9517}"/>
        </Anchor>
        <Assign userId="S::tromey@paylocity.com::b06824af-af48-4af1-adc2-1fd6658f0a1a" userName="Trevor Romey" userProvider="AD"/>
      </Event>
      <Event time="2026-04-02T10:48:54.10" id="{CF8DE6CD-4CE5-4F4D-BB08-7EC481F9F40D}">
        <Attribution userId="S::DSchiff1@paylocity.com::eea68032-6692-4cf0-a04b-8cc0fcbbf29a" userName="Dan Schiff" userProvider="AD"/>
        <Anchor>
          <Comment id="{13698C37-6222-4173-9103-C7977F3D9517}"/>
        </Anchor>
        <SetTitle title="@Trevor Romey @Jenny Weaver Nice ratio of create:resolved! Was this due to last month’s action plan?"/>
      </Event>
      <Event time="2026-04-02T16:46:01.51" id="{03D3975B-9573-47BF-A3DB-8A7B9463EE36}">
        <Attribution userId="S::tromey@paylocity.com::b06824af-af48-4af1-adc2-1fd6658f0a1a" userName="Trevor Romey" userProvider="AD"/>
        <Progress percentComplete="100"/>
      </Event>
    </History>
  </Task>
  <Task id="{6CCD2C7D-56B5-42E8-9002-1EFDE400E3A6}">
    <Anchor>
      <Comment id="{5F1CF122-D84A-49AD-8CF9-31F433EB0F64}"/>
    </Anchor>
    <History>
      <Event time="2026-04-02T10:46:54.84" id="{D6AE1A12-68FD-4DFB-9513-C9E137794EE2}">
        <Attribution userId="S::DSchiff1@paylocity.com::eea68032-6692-4cf0-a04b-8cc0fcbbf29a" userName="Dan Schiff" userProvider="AD"/>
        <Anchor>
          <Comment id="{5F1CF122-D84A-49AD-8CF9-31F433EB0F64}"/>
        </Anchor>
        <Create/>
      </Event>
      <Event time="2026-04-02T10:46:54.84" id="{CC2F51A9-ED8D-4391-8FDB-3D016E3C983D}">
        <Attribution userId="S::DSchiff1@paylocity.com::eea68032-6692-4cf0-a04b-8cc0fcbbf29a" userName="Dan Schiff" userProvider="AD"/>
        <Anchor>
          <Comment id="{5F1CF122-D84A-49AD-8CF9-31F433EB0F64}"/>
        </Anchor>
        <Assign userId="S::ahunter2@paylocity.com::cfde8d4f-52d0-4ede-9172-11b6fa8c3c49" userName="Austin Hunter" userProvider="AD"/>
      </Event>
      <Event time="2026-04-02T10:46:54.84" id="{B8BFF7AA-6D44-4C32-88A0-3B016321190D}">
        <Attribution userId="S::DSchiff1@paylocity.com::eea68032-6692-4cf0-a04b-8cc0fcbbf29a" userName="Dan Schiff" userProvider="AD"/>
        <Anchor>
          <Comment id="{5F1CF122-D84A-49AD-8CF9-31F433EB0F64}"/>
        </Anchor>
        <SetTitle title="@Austin Hunter @Stephen Hubbard not sure if this tells us much of anything but given the big jump, just curious if there’s anything you know of that’s driving it?"/>
      </Event>
      <Event time="2026-04-02T17:09:28.46" id="{3D7D7254-419C-4993-B009-C3E683E78FE3}">
        <Attribution userId="S::DSchiff1@paylocity.com::eea68032-6692-4cf0-a04b-8cc0fcbbf29a" userName="Dan Schiff" userProvider="AD"/>
        <Progress percentComplete="100"/>
      </Event>
    </History>
  </Task>
  <Task id="{B5674390-0D62-44DD-BB5F-26C7C23A4AF7}">
    <Anchor>
      <Comment id="{2D1A5B3D-8BA6-41D0-8C1A-1C242B14F94D}"/>
    </Anchor>
    <History>
      <Event time="2026-04-02T11:12:49.93" id="{20170000-483E-4DCA-9301-DDC5F9E349AE}">
        <Attribution userId="S::DSchiff1@paylocity.com::eea68032-6692-4cf0-a04b-8cc0fcbbf29a" userName="Dan Schiff" userProvider="AD"/>
        <Anchor>
          <Comment id="{2D1A5B3D-8BA6-41D0-8C1A-1C242B14F94D}"/>
        </Anchor>
        <Create/>
      </Event>
      <Event time="2026-04-02T11:12:49.93" id="{1175CC6A-7F63-4E0C-BA5D-8F985942B8E1}">
        <Attribution userId="S::DSchiff1@paylocity.com::eea68032-6692-4cf0-a04b-8cc0fcbbf29a" userName="Dan Schiff" userProvider="AD"/>
        <Anchor>
          <Comment id="{2D1A5B3D-8BA6-41D0-8C1A-1C242B14F94D}"/>
        </Anchor>
        <Assign userId="S::rcrismariu@paylocity.com::0d1d862a-8797-4630-af9c-76e7c1de7662" userName="Ruben Crismariu" userProvider="AD"/>
      </Event>
      <Event time="2026-04-02T11:12:49.93" id="{8C2B5863-F9B2-45F8-B065-E2B5C6DA98D6}">
        <Attribution userId="S::DSchiff1@paylocity.com::eea68032-6692-4cf0-a04b-8cc0fcbbf29a" userName="Dan Schiff" userProvider="AD"/>
        <Anchor>
          <Comment id="{2D1A5B3D-8BA6-41D0-8C1A-1C242B14F94D}"/>
        </Anchor>
        <SetTitle title="@Ruben Crismariu @Stephen Hubbard steady uptick here over the last two months. Was this because of Dan Santimore’s addition to the team?"/>
      </Event>
      <Event time="2026-04-02T17:02:38.80" id="{4536724A-933B-43B7-9FAD-C060410B0DE8}">
        <Attribution userId="S::rcrismariu@paylocity.com::0d1d862a-8797-4630-af9c-76e7c1de7662" userName="Ruben Crismariu" userProvider="AD"/>
        <Progress percentComplete="100"/>
      </Event>
    </History>
  </Task>
  <Task id="{0F4365A3-4934-4DA9-AC8E-02AE94A384A8}">
    <Anchor>
      <Comment id="{3C9C20F4-6F17-4170-8F70-AD9F92F4F0DB}"/>
    </Anchor>
    <History>
      <Event time="2026-04-02T11:06:27.94" id="{912266D6-8AD3-4AAD-BC7D-85A0E0C2959C}">
        <Attribution userId="S::DSchiff1@paylocity.com::eea68032-6692-4cf0-a04b-8cc0fcbbf29a" userName="Dan Schiff" userProvider="AD"/>
        <Anchor>
          <Comment id="{3C9C20F4-6F17-4170-8F70-AD9F92F4F0DB}"/>
        </Anchor>
        <Create/>
      </Event>
      <Event time="2026-04-02T11:06:27.94" id="{A46E6CA4-0FA3-45EC-B236-DEEA85D6F39D}">
        <Attribution userId="S::DSchiff1@paylocity.com::eea68032-6692-4cf0-a04b-8cc0fcbbf29a" userName="Dan Schiff" userProvider="AD"/>
        <Anchor>
          <Comment id="{3C9C20F4-6F17-4170-8F70-AD9F92F4F0DB}"/>
        </Anchor>
        <Assign userId="S::dewing@paylocity.com::c577fc8d-b07e-4e05-9898-338b8a57958b" userName="David Ewing" userProvider="AD"/>
      </Event>
      <Event time="2026-04-02T11:06:27.94" id="{6596C76E-A5CA-4B90-9EFD-538E917BB52B}">
        <Attribution userId="S::DSchiff1@paylocity.com::eea68032-6692-4cf0-a04b-8cc0fcbbf29a" userName="Dan Schiff" userProvider="AD"/>
        <Anchor>
          <Comment id="{3C9C20F4-6F17-4170-8F70-AD9F92F4F0DB}"/>
        </Anchor>
        <SetTitle title="@David Ewing @Stephen Hubbard was there anything in particular you all have done to drive down unplanned work in recent months?"/>
      </Event>
    </History>
  </Task>
  <Task id="{EAC643A5-0653-44EF-BF90-595FBAF433CF}">
    <Anchor>
      <Comment id="{AE802718-D209-4018-A06C-D330D9CFF5A7}"/>
    </Anchor>
    <History>
      <Event time="2025-12-03T14:17:58.82" id="{2754A0A5-6895-4DCB-A3F8-621C53225850}">
        <Attribution userId="S::DSchiff1@paylocity.com::eea68032-6692-4cf0-a04b-8cc0fcbbf29a" userName="Dan Schiff" userProvider="AD"/>
        <Anchor>
          <Comment id="{AE802718-D209-4018-A06C-D330D9CFF5A7}"/>
        </Anchor>
        <Create/>
      </Event>
      <Event time="2025-12-03T14:17:58.82" id="{D5ECEC28-AD46-498F-A54F-972560EEC0B0}">
        <Attribution userId="S::DSchiff1@paylocity.com::eea68032-6692-4cf0-a04b-8cc0fcbbf29a" userName="Dan Schiff" userProvider="AD"/>
        <Anchor>
          <Comment id="{AE802718-D209-4018-A06C-D330D9CFF5A7}"/>
        </Anchor>
        <Assign userId="S::tromey@paylocity.com::b06824af-af48-4af1-adc2-1fd6658f0a1a" userName="Trevor Romey" userProvider="AD"/>
      </Event>
      <Event time="2025-12-03T14:17:58.82" id="{A40F6D97-EC83-4BA8-B371-9A2A4B2EDAF0}">
        <Attribution userId="S::DSchiff1@paylocity.com::eea68032-6692-4cf0-a04b-8cc0fcbbf29a" userName="Dan Schiff" userProvider="AD"/>
        <Anchor>
          <Comment id="{AE802718-D209-4018-A06C-D330D9CFF5A7}"/>
        </Anchor>
        <SetTitle title="@Trevor Romey @Bob Baird what caused the increase in unplanned work in Nov?"/>
      </Event>
      <Event time="2025-12-04T13:03:33.51" id="{26985B8C-2443-4FC1-A7A0-271A80897B86}">
        <Attribution userId="S::DSchiff1@paylocity.com::eea68032-6692-4cf0-a04b-8cc0fcbbf29a" userName="Dan Schiff" userProvider="AD"/>
        <Progress percentComplete="100"/>
      </Event>
    </History>
  </Task>
  <Task id="{4243C9A7-3CB6-4227-B0BD-24C6458DBA6B}">
    <Anchor>
      <Comment id="{40C1DE3E-E1B0-4E47-A2C9-2417F310E789}"/>
    </Anchor>
    <History>
      <Event time="2026-04-02T17:24:08.29" id="{AA504394-FDD4-4C31-BCF2-AA20C37C0D6E}">
        <Attribution userId="S::DSchiff1@paylocity.com::eea68032-6692-4cf0-a04b-8cc0fcbbf29a" userName="Dan Schiff" userProvider="AD"/>
        <Anchor>
          <Comment id="{40C1DE3E-E1B0-4E47-A2C9-2417F310E789}"/>
        </Anchor>
        <Create/>
      </Event>
      <Event time="2026-04-02T17:24:08.29" id="{D81BA3F2-98AD-4D5C-AB3E-4EA79BEADAF9}">
        <Attribution userId="S::DSchiff1@paylocity.com::eea68032-6692-4cf0-a04b-8cc0fcbbf29a" userName="Dan Schiff" userProvider="AD"/>
        <Anchor>
          <Comment id="{40C1DE3E-E1B0-4E47-A2C9-2417F310E789}"/>
        </Anchor>
        <Assign userId="S::mjohlic@paylocity.com::5eff6236-a4ca-42e1-b7c9-96bc6d37c78f" userName="Monica Johlic" userProvider="AD"/>
      </Event>
      <Event time="2026-04-02T17:24:08.29" id="{689D425F-DB6C-4F55-83D3-710962F5E7E8}">
        <Attribution userId="S::DSchiff1@paylocity.com::eea68032-6692-4cf0-a04b-8cc0fcbbf29a" userName="Dan Schiff" userProvider="AD"/>
        <Anchor>
          <Comment id="{40C1DE3E-E1B0-4E47-A2C9-2417F310E789}"/>
        </Anchor>
        <SetTitle title="@Monica Johlic @Stephen Hubbard missing action items?"/>
      </Event>
      <Event time="2026-04-02T20:35:31.34" id="{EC020F8C-8E55-4EE9-9700-0997336842E6}">
        <Attribution userId="S::mjohlic@paylocity.com::5eff6236-a4ca-42e1-b7c9-96bc6d37c78f" userName="Monica Johlic" userProvider="AD"/>
        <Progress percentComplete="100"/>
      </Event>
    </History>
  </Task>
  <Task id="{608113AB-F33A-4698-B462-7C902D238C1B}">
    <Anchor>
      <Comment id="{94CC17B5-C33A-4A9B-B358-81C14116B5EE}"/>
    </Anchor>
    <History>
      <Event time="2025-12-03T14:20:23.41" id="{F13CA35C-24F7-4F61-BCCF-64CF1E35F274}">
        <Attribution userId="S::DSchiff1@paylocity.com::eea68032-6692-4cf0-a04b-8cc0fcbbf29a" userName="Dan Schiff" userProvider="AD"/>
        <Anchor>
          <Comment id="{94CC17B5-C33A-4A9B-B358-81C14116B5EE}"/>
        </Anchor>
        <Create/>
      </Event>
      <Event time="2025-12-03T14:20:23.41" id="{7A8C1106-5A04-4118-AB17-B0C6193E6DED}">
        <Attribution userId="S::DSchiff1@paylocity.com::eea68032-6692-4cf0-a04b-8cc0fcbbf29a" userName="Dan Schiff" userProvider="AD"/>
        <Anchor>
          <Comment id="{94CC17B5-C33A-4A9B-B358-81C14116B5EE}"/>
        </Anchor>
        <Assign userId="S::CMiller5@Paylocity.com::78fca601-f276-4c30-8acc-fa7b91fd7d8e" userName="Cory Miller" userProvider="AD"/>
      </Event>
      <Event time="2025-12-03T14:20:23.41" id="{E62558DE-966E-41BE-B103-A0BD1DD0400F}">
        <Attribution userId="S::DSchiff1@paylocity.com::eea68032-6692-4cf0-a04b-8cc0fcbbf29a" userName="Dan Schiff" userProvider="AD"/>
        <Anchor>
          <Comment id="{94CC17B5-C33A-4A9B-B358-81C14116B5EE}"/>
        </Anchor>
        <SetTitle title="@Cory Miller @Bob Baird This is a nice uptick! Was there anything the team did to drive this change?"/>
      </Event>
      <Event time="2025-12-04T13:02:46.22" id="{F596F965-8D9D-4E63-AEA5-D74B52B5472C}">
        <Attribution userId="S::DSchiff1@paylocity.com::eea68032-6692-4cf0-a04b-8cc0fcbbf29a" userName="Dan Schiff" userProvider="AD"/>
        <Progress percentComplete="100"/>
      </Event>
    </History>
  </Task>
  <Task id="{1864DCB1-86C3-49AC-85DA-C7F907E034D8}">
    <Anchor>
      <Comment id="{2EDC5A13-7939-43DA-9F67-FA9DA59D39BD}"/>
    </Anchor>
    <History>
      <Event time="2026-04-02T11:01:56.12" id="{36233FA2-AA9D-4A6E-80E3-BEB0FED45732}">
        <Attribution userId="S::DSchiff1@paylocity.com::eea68032-6692-4cf0-a04b-8cc0fcbbf29a" userName="Dan Schiff" userProvider="AD"/>
        <Anchor>
          <Comment id="{2EDC5A13-7939-43DA-9F67-FA9DA59D39BD}"/>
        </Anchor>
        <Create/>
      </Event>
      <Event time="2026-04-02T11:01:56.12" id="{691A05B7-0271-4CFB-A419-D0E3EE5F94F1}">
        <Attribution userId="S::DSchiff1@paylocity.com::eea68032-6692-4cf0-a04b-8cc0fcbbf29a" userName="Dan Schiff" userProvider="AD"/>
        <Anchor>
          <Comment id="{2EDC5A13-7939-43DA-9F67-FA9DA59D39BD}"/>
        </Anchor>
        <Assign userId="S::BPrendergast@Paylocity.com::d99ce3d6-6529-49ad-b40e-b7781c96fb2c" userName="Bryan Prendergast" userProvider="AD"/>
      </Event>
      <Event time="2026-04-02T11:01:56.12" id="{4E696840-3B94-493C-B646-3C88A1B16464}">
        <Attribution userId="S::DSchiff1@paylocity.com::eea68032-6692-4cf0-a04b-8cc0fcbbf29a" userName="Dan Schiff" userProvider="AD"/>
        <Anchor>
          <Comment id="{2EDC5A13-7939-43DA-9F67-FA9DA59D39BD}"/>
        </Anchor>
        <SetTitle title="@Bryan Prendergast @Stephen Hubbard did Feb’s action plan result in this increase? No action plan for predictability this month?"/>
      </Event>
    </History>
  </Task>
  <Task id="{BE2679B5-9BD7-406C-B43D-BF65152B83A7}">
    <Anchor>
      <Comment id="{16D60315-31D4-45EB-BB9A-72246DF1C219}"/>
    </Anchor>
    <History>
      <Event time="2025-12-03T14:30:04.47" id="{4FC75315-7BA9-464D-81F6-2F1722C8B8A2}">
        <Attribution userId="S::DSchiff1@paylocity.com::eea68032-6692-4cf0-a04b-8cc0fcbbf29a" userName="Dan Schiff" userProvider="AD"/>
        <Anchor>
          <Comment id="{16D60315-31D4-45EB-BB9A-72246DF1C219}"/>
        </Anchor>
        <Create/>
      </Event>
      <Event time="2025-12-03T14:30:04.47" id="{7E7DDAE4-DDF3-466D-B7DB-9E3F7B481519}">
        <Attribution userId="S::DSchiff1@paylocity.com::eea68032-6692-4cf0-a04b-8cc0fcbbf29a" userName="Dan Schiff" userProvider="AD"/>
        <Anchor>
          <Comment id="{16D60315-31D4-45EB-BB9A-72246DF1C219}"/>
        </Anchor>
        <Assign userId="S::mjohlic@paylocity.com::5eff6236-a4ca-42e1-b7c9-96bc6d37c78f" userName="Monica Johlic" userProvider="AD"/>
      </Event>
      <Event time="2025-12-03T14:30:04.47" id="{EF73B436-8968-45BE-A347-0B267D50EE61}">
        <Attribution userId="S::DSchiff1@paylocity.com::eea68032-6692-4cf0-a04b-8cc0fcbbf29a" userName="Dan Schiff" userProvider="AD"/>
        <Anchor>
          <Comment id="{16D60315-31D4-45EB-BB9A-72246DF1C219}"/>
        </Anchor>
        <SetTitle title="@Monica Johlic @Stephen Hubbard is something driving the downward trend for predictability?"/>
      </Event>
      <Event time="2025-12-04T13:00:24.54" id="{3B8379C4-DC68-4F85-BBA1-D65CA2DCF33F}">
        <Attribution userId="S::DSchiff1@paylocity.com::eea68032-6692-4cf0-a04b-8cc0fcbbf29a" userName="Dan Schiff" userProvider="AD"/>
        <Progress percentComplete="100"/>
      </Event>
    </History>
  </Task>
  <Task id="{A19D2FB8-01D9-4295-8EF1-1D9A4245A230}">
    <Anchor>
      <Comment id="{37079D49-756A-4EF4-BA45-5BC181462A5D}"/>
    </Anchor>
    <History>
      <Event time="2026-04-02T11:02:56.39" id="{FF599B1D-0B93-4AFC-ACE1-A52FE90EE925}">
        <Attribution userId="S::DSchiff1@paylocity.com::eea68032-6692-4cf0-a04b-8cc0fcbbf29a" userName="Dan Schiff" userProvider="AD"/>
        <Anchor>
          <Comment id="{37079D49-756A-4EF4-BA45-5BC181462A5D}"/>
        </Anchor>
        <Create/>
      </Event>
      <Event time="2026-04-02T11:02:56.39" id="{B36BABFD-AA82-4039-AC16-078E3F3AC2BE}">
        <Attribution userId="S::DSchiff1@paylocity.com::eea68032-6692-4cf0-a04b-8cc0fcbbf29a" userName="Dan Schiff" userProvider="AD"/>
        <Anchor>
          <Comment id="{37079D49-756A-4EF4-BA45-5BC181462A5D}"/>
        </Anchor>
        <Assign userId="S::BPrendergast@Paylocity.com::d99ce3d6-6529-49ad-b40e-b7781c96fb2c" userName="Bryan Prendergast" userProvider="AD"/>
      </Event>
      <Event time="2026-04-02T11:02:56.39" id="{D07E9819-A304-4C89-8200-194CF17FCDDF}">
        <Attribution userId="S::DSchiff1@paylocity.com::eea68032-6692-4cf0-a04b-8cc0fcbbf29a" userName="Dan Schiff" userProvider="AD"/>
        <Anchor>
          <Comment id="{37079D49-756A-4EF4-BA45-5BC181462A5D}"/>
        </Anchor>
        <SetTitle title="@Bryan Prendergast @Stephen Hubbard steady downward trend here. Was there anything in particular you all did to drive this down?"/>
      </Event>
      <Event time="2026-04-02T17:13:33.98" id="{B9771AA4-7774-4C0F-BD5C-82452BDCED8D}">
        <Attribution userId="S::DSchiff1@paylocity.com::eea68032-6692-4cf0-a04b-8cc0fcbbf29a" userName="Dan Schiff" userProvider="AD"/>
        <Progress percentComplete="100"/>
      </Event>
    </History>
  </Task>
  <Task id="{ED39C2C5-D02D-4B01-9734-567F98400217}">
    <Anchor>
      <Comment id="{C575B263-8DFC-47C2-AFEA-7F93838F87FA}"/>
    </Anchor>
    <History>
      <Event time="2026-04-02T10:42:17.36" id="{013D1F7A-D71B-48ED-89EC-6903F0189B83}">
        <Attribution userId="S::DSchiff1@paylocity.com::eea68032-6692-4cf0-a04b-8cc0fcbbf29a" userName="Dan Schiff" userProvider="AD"/>
        <Anchor>
          <Comment id="{C575B263-8DFC-47C2-AFEA-7F93838F87FA}"/>
        </Anchor>
        <Create/>
      </Event>
      <Event time="2026-04-02T10:42:17.36" id="{D4EE79AF-74A1-464D-8829-38B87E4E336B}">
        <Attribution userId="S::DSchiff1@paylocity.com::eea68032-6692-4cf0-a04b-8cc0fcbbf29a" userName="Dan Schiff" userProvider="AD"/>
        <Anchor>
          <Comment id="{C575B263-8DFC-47C2-AFEA-7F93838F87FA}"/>
        </Anchor>
        <Assign userId="S::mjohlic@paylocity.com::5eff6236-a4ca-42e1-b7c9-96bc6d37c78f" userName="Monica Johlic" userProvider="AD"/>
      </Event>
      <Event time="2026-04-02T10:42:17.36" id="{7DCD71D0-3777-454C-916E-F1E46C95F83E}">
        <Attribution userId="S::DSchiff1@paylocity.com::eea68032-6692-4cf0-a04b-8cc0fcbbf29a" userName="Dan Schiff" userProvider="AD"/>
        <Anchor>
          <Comment id="{C575B263-8DFC-47C2-AFEA-7F93838F87FA}"/>
        </Anchor>
        <SetTitle title="@Monica Johlic @Stephen Hubbard any specific actions that led to this jump? Was it the action plan from Feb?"/>
      </Event>
      <Event time="2026-04-02T20:54:12.03" id="{E27EAE44-4BAE-4174-8EA7-74DB24A01416}">
        <Attribution userId="S::mjohlic@paylocity.com::5eff6236-a4ca-42e1-b7c9-96bc6d37c78f" userName="Monica Johlic" userProvider="AD"/>
        <Progress percentComplete="100"/>
      </Event>
    </History>
  </Task>
  <Task id="{0DC215DC-A024-4B91-9C25-2C7B45201FF3}">
    <Anchor>
      <Comment id="{2D82A5C6-CA35-49E0-8770-09DC767265A2}"/>
    </Anchor>
    <History>
      <Event time="2026-04-02T11:18:26.04" id="{9F79F91D-DED7-49E4-B292-1D5A524A915E}">
        <Attribution userId="S::DSchiff1@paylocity.com::eea68032-6692-4cf0-a04b-8cc0fcbbf29a" userName="Dan Schiff" userProvider="AD"/>
        <Anchor>
          <Comment id="{2D82A5C6-CA35-49E0-8770-09DC767265A2}"/>
        </Anchor>
        <Create/>
      </Event>
      <Event time="2026-04-02T11:18:26.04" id="{9E05C1FA-BBEE-481F-9230-3F89F3F6DDBA}">
        <Attribution userId="S::DSchiff1@paylocity.com::eea68032-6692-4cf0-a04b-8cc0fcbbf29a" userName="Dan Schiff" userProvider="AD"/>
        <Anchor>
          <Comment id="{2D82A5C6-CA35-49E0-8770-09DC767265A2}"/>
        </Anchor>
        <Assign userId="S::tromey@paylocity.com::b06824af-af48-4af1-adc2-1fd6658f0a1a" userName="Trevor Romey" userProvider="AD"/>
      </Event>
      <Event time="2026-04-02T11:18:26.04" id="{1B09A87D-105B-4A44-A5AE-49B3453111A6}">
        <Attribution userId="S::DSchiff1@paylocity.com::eea68032-6692-4cf0-a04b-8cc0fcbbf29a" userName="Dan Schiff" userProvider="AD"/>
        <Anchor>
          <Comment id="{2D82A5C6-CA35-49E0-8770-09DC767265A2}"/>
        </Anchor>
        <SetTitle title="@Trevor Romey @Jenny Weaver Action items should target one of the metric areas and have a quantitative target. i.e. what outcome do you expect from improved story readiness and reduced dependencies? Better sprint predictatility, lower cycle times?"/>
      </Event>
      <Event time="2026-04-02T16:45:47.42" id="{F805F3D8-189D-4C6A-9DCA-B1F3A5C96A54}">
        <Attribution userId="S::tromey@paylocity.com::b06824af-af48-4af1-adc2-1fd6658f0a1a" userName="Trevor Romey" userProvider="AD"/>
        <Progress percentComplete="100"/>
      </Event>
      <Event time="2026-04-02T17:10:31.85" id="{351354C7-91CA-425F-820D-5F2236D96D3D}">
        <Attribution userId="S::DSchiff1@paylocity.com::eea68032-6692-4cf0-a04b-8cc0fcbbf29a" userName="Dan Schiff" userProvider="AD"/>
        <Progress percentComplete="0"/>
      </Event>
    </History>
  </Task>
  <Task id="{AF8D14E4-3E28-4AD5-B32F-6A0381BF7DE4}">
    <Anchor>
      <Comment id="{D5D68B15-1865-4976-B2C9-7942B566237E}"/>
    </Anchor>
    <History>
      <Event time="2026-04-02T10:44:19.49" id="{8E091571-E30A-4FF4-91FF-5C314C053B4B}">
        <Attribution userId="S::DSchiff1@paylocity.com::eea68032-6692-4cf0-a04b-8cc0fcbbf29a" userName="Dan Schiff" userProvider="AD"/>
        <Anchor>
          <Comment id="{D5D68B15-1865-4976-B2C9-7942B566237E}"/>
        </Anchor>
        <Create/>
      </Event>
      <Event time="2026-04-02T10:44:19.49" id="{0919008C-FA1E-40AF-9142-2DB419022501}">
        <Attribution userId="S::DSchiff1@paylocity.com::eea68032-6692-4cf0-a04b-8cc0fcbbf29a" userName="Dan Schiff" userProvider="AD"/>
        <Anchor>
          <Comment id="{D5D68B15-1865-4976-B2C9-7942B566237E}"/>
        </Anchor>
        <Assign userId="S::ahunter2@paylocity.com::cfde8d4f-52d0-4ede-9172-11b6fa8c3c49" userName="Austin Hunter" userProvider="AD"/>
      </Event>
      <Event time="2026-04-02T10:44:19.49" id="{3FA2CB50-F7B0-4F41-B77A-A85AE2DD96C1}">
        <Attribution userId="S::DSchiff1@paylocity.com::eea68032-6692-4cf0-a04b-8cc0fcbbf29a" userName="Dan Schiff" userProvider="AD"/>
        <Anchor>
          <Comment id="{D5D68B15-1865-4976-B2C9-7942B566237E}"/>
        </Anchor>
        <SetTitle title="@Austin Hunter @Stephen Hubbard halfway through your action plan here and not seeing an increase in predictability. Any insight into what’s going well or not here?"/>
      </Event>
      <Event time="2026-04-02T17:08:38.21" id="{D84E66B8-9E6D-4C2A-B912-F75D1D0C790D}">
        <Attribution userId="S::DSchiff1@paylocity.com::eea68032-6692-4cf0-a04b-8cc0fcbbf29a" userName="Dan Schiff" userProvider="AD"/>
        <Progress percentComplete="100"/>
      </Event>
    </History>
  </Task>
  <Task id="{2746F1F9-F021-4993-AE27-78C10AB003ED}">
    <Anchor>
      <Comment id="{62BF2DF1-3ED4-41BE-AD61-A99AD2CBE1B0}"/>
    </Anchor>
    <History>
      <Event time="2026-04-02T10:53:04.46" id="{10143B59-F31F-4EFB-8630-34C911B6A6E9}">
        <Attribution userId="S::DSchiff1@paylocity.com::eea68032-6692-4cf0-a04b-8cc0fcbbf29a" userName="Dan Schiff" userProvider="AD"/>
        <Anchor>
          <Comment id="{62BF2DF1-3ED4-41BE-AD61-A99AD2CBE1B0}"/>
        </Anchor>
        <Create/>
      </Event>
      <Event time="2026-04-02T10:53:04.46" id="{C828C7A7-C3E3-4A77-8F5A-6411EF69E075}">
        <Attribution userId="S::DSchiff1@paylocity.com::eea68032-6692-4cf0-a04b-8cc0fcbbf29a" userName="Dan Schiff" userProvider="AD"/>
        <Anchor>
          <Comment id="{62BF2DF1-3ED4-41BE-AD61-A99AD2CBE1B0}"/>
        </Anchor>
        <Assign userId="S::jbasilio@paylocity.com::f3935f92-2047-48a3-b0cb-ed015dbd5992" userName="Jose Basilio" userProvider="AD"/>
      </Event>
      <Event time="2026-04-02T10:53:04.46" id="{88EEA1DC-A680-452F-B81E-6FB78EE7FFB7}">
        <Attribution userId="S::DSchiff1@paylocity.com::eea68032-6692-4cf0-a04b-8cc0fcbbf29a" userName="Dan Schiff" userProvider="AD"/>
        <Anchor>
          <Comment id="{62BF2DF1-3ED4-41BE-AD61-A99AD2CBE1B0}"/>
        </Anchor>
        <SetTitle title="@Jose Basilio @Jenny Weaver big jump here and in PRs merged. Is there something you all did to increase this velocity?"/>
      </Event>
      <Event time="2026-04-02T17:11:44.20" id="{4D327E5A-2595-45FB-AC42-B3712CC5C34E}">
        <Attribution userId="S::DSchiff1@paylocity.com::eea68032-6692-4cf0-a04b-8cc0fcbbf29a" userName="Dan Schiff" userProvider="AD"/>
        <Progress percentComplete="100"/>
      </Event>
    </History>
  </Task>
</Tasks>
</file>

<file path=xl/documenttasks/documenttask2.xml><?xml version="1.0" encoding="utf-8"?>
<Tasks xmlns="http://schemas.microsoft.com/office/tasks/2019/documenttasks">
  <Task id="{AC880319-8297-472D-BF43-E68135CBE8DA}">
    <Anchor>
      <Comment id="{E72BB7A5-A575-4077-99FC-22EE65C51B50}"/>
    </Anchor>
    <History>
      <Event time="2025-12-18T16:41:50.72" id="{E99F5A03-AE1D-49DA-B2DB-27FFDE6AE82D}">
        <Attribution userId="S::shubbard@paylocity.com::118ab062-d30f-4561-8505-66627eb9ae21" userName="Stephen Hubbard" userProvider="AD"/>
        <Anchor>
          <Comment id="{E72BB7A5-A575-4077-99FC-22EE65C51B50}"/>
        </Anchor>
        <Create/>
      </Event>
      <Event time="2025-12-18T16:41:50.72" id="{F8084427-E16D-4AA7-84B7-C3644A3103A2}">
        <Attribution userId="S::shubbard@paylocity.com::118ab062-d30f-4561-8505-66627eb9ae21" userName="Stephen Hubbard" userProvider="AD"/>
        <Anchor>
          <Comment id="{E72BB7A5-A575-4077-99FC-22EE65C51B50}"/>
        </Anchor>
        <Assign userId="S::rcrismariu@paylocity.com::0d1d862a-8797-4630-af9c-76e7c1de7662" userName="Ruben Crismariu" userProvider="AD"/>
      </Event>
      <Event time="2025-12-18T16:41:50.72" id="{E753B38D-6109-43C4-9CF2-204FF894EBA3}">
        <Attribution userId="S::shubbard@paylocity.com::118ab062-d30f-4561-8505-66627eb9ae21" userName="Stephen Hubbard" userProvider="AD"/>
        <Anchor>
          <Comment id="{E72BB7A5-A575-4077-99FC-22EE65C51B50}"/>
        </Anchor>
        <SetTitle title="@Ruben Crismariu - this should be 50% based on this dashboard, right? https://paylocity.atlassian.net/jira/dashboards/11802 Looks like the remaining epic is a maintenance style one that'll be closed at the end of Q2."/>
      </Event>
      <Event time="2026-01-02T15:46:45.76" id="{4A745814-07E9-449E-A66D-10A6C74CCF02}">
        <Attribution userId="S::rcrismariu@paylocity.com::0d1d862a-8797-4630-af9c-76e7c1de7662" userName="Ruben Crismariu" userProvider="AD"/>
        <Progress percentComplete="100"/>
      </Event>
    </History>
  </Task>
  <Task id="{CFB72922-BEBF-EE4E-BBFF-CBB29EFCD5C6}">
    <Anchor>
      <Comment id="{E72E5BED-B835-46D7-BCFB-E7CF399F9BE9}"/>
    </Anchor>
    <History>
      <Event time="2025-10-27T18:55:16.77" id="{6B57EB7E-FC89-6340-ACA2-CA7D42CD5557}">
        <Attribution userId="S::sjucovics@paylocity.com::8d52f265-afd6-4dac-bb82-3e5f14ff9e7c" userName="Scott Jucovics" userProvider="AD"/>
        <Anchor>
          <Comment id="{B834537B-7B49-BA49-A8AC-4A0DA0342AA2}"/>
        </Anchor>
        <Create/>
      </Event>
      <Event time="2025-10-27T18:55:16.77" id="{AD5ED26A-B3BF-3D48-9DED-BC0C456A356B}">
        <Attribution userId="S::sjucovics@paylocity.com::8d52f265-afd6-4dac-bb82-3e5f14ff9e7c" userName="Scott Jucovics" userProvider="AD"/>
        <Anchor>
          <Comment id="{B834537B-7B49-BA49-A8AC-4A0DA0342AA2}"/>
        </Anchor>
        <Assign userId="S::jbasilio@paylocity.com::f3935f92-2047-48a3-b0cb-ed015dbd5992" userName="Jose Basilio" userProvider="AD"/>
      </Event>
      <Event time="2025-10-27T18:55:16.77" id="{77B03165-172C-8649-B6DA-6E85202D5E41}">
        <Attribution userId="S::sjucovics@paylocity.com::8d52f265-afd6-4dac-bb82-3e5f14ff9e7c" userName="Scott Jucovics" userProvider="AD"/>
        <Anchor>
          <Comment id="{B834537B-7B49-BA49-A8AC-4A0DA0342AA2}"/>
        </Anchor>
        <SetTitle title="@Jose Basilio @Bob Baird let me know when this is updated please"/>
      </Event>
      <Event time="2025-10-28T23:31:00.03" id="{3AE88011-B5F4-4ABF-A2BA-8772732322FC}">
        <Attribution userId="S::jbasilio@paylocity.com::f3935f92-2047-48a3-b0cb-ed015dbd5992" userName="Jose Basilio" userProvider="AD"/>
        <Progress percentComplete="100"/>
      </Event>
      <Event time="2025-10-29T13:03:21.06" id="{E1F70827-794F-4437-93B8-5AB154861AF5}">
        <Attribution userId="S::sjucovics@paylocity.com::8d52f265-afd6-4dac-bb82-3e5f14ff9e7c" userName="Scott Jucovics" userProvider="AD"/>
        <Progress percentComplete="0"/>
      </Event>
      <Event time="2025-11-05T20:45:22.74" id="{0BEEA659-40EC-4809-8F7C-8DB74283B0B2}">
        <Attribution userId="S::jbasilio@paylocity.com::f3935f92-2047-48a3-b0cb-ed015dbd5992" userName="Jose Basilio" userProvider="AD"/>
        <Progress percentComplete="100"/>
      </Event>
    </History>
  </Task>
  <Task id="{662D242D-2249-4668-B54A-C6F5E721270D}">
    <Anchor>
      <Comment id="{70758138-3D92-47A8-A332-7E5CDD0DC11C}"/>
    </Anchor>
    <History>
      <Event time="2026-02-02T14:05:46.32" id="{80C25AF1-7657-4155-958D-5BCDC2F83968}">
        <Attribution userId="S::dschiff1@paylocity.com::eea68032-6692-4cf0-a04b-8cc0fcbbf29a" userName="Dan Schiff" userProvider="AD"/>
        <Anchor>
          <Comment id="{70758138-3D92-47A8-A332-7E5CDD0DC11C}"/>
        </Anchor>
        <Create/>
      </Event>
      <Event time="2026-02-02T14:05:46.32" id="{F09F165A-84F1-4EF1-B54B-EAEA1AD5D45A}">
        <Attribution userId="S::dschiff1@paylocity.com::eea68032-6692-4cf0-a04b-8cc0fcbbf29a" userName="Dan Schiff" userProvider="AD"/>
        <Anchor>
          <Comment id="{70758138-3D92-47A8-A332-7E5CDD0DC11C}"/>
        </Anchor>
        <Assign userId="S::ahunter2@paylocity.com::cfde8d4f-52d0-4ede-9172-11b6fa8c3c49" userName="Austin Hunter" userProvider="AD"/>
      </Event>
      <Event time="2026-02-02T14:05:46.32" id="{CB863B12-AB66-4C6E-A162-C6BA6AC9FEFC}">
        <Attribution userId="S::dschiff1@paylocity.com::eea68032-6692-4cf0-a04b-8cc0fcbbf29a" userName="Dan Schiff" userProvider="AD"/>
        <Anchor>
          <Comment id="{70758138-3D92-47A8-A332-7E5CDD0DC11C}"/>
        </Anchor>
        <SetTitle title="@Austin Hunter is this just a function of fewer devs with you and Ron out of the mix, or is it related to ramping up on MMP? Or? I guess the main question is whether you expect this to go back up next sprint on its own or does it require some action?"/>
      </Event>
      <Event time="2026-02-02T17:08:24.75" id="{B35BB3E5-C2B8-42C2-85A7-EB5C50A35562}">
        <Attribution userId="S::ahunter2@paylocity.com::cfde8d4f-52d0-4ede-9172-11b6fa8c3c49" userName="Austin Hunter" userProvider="AD"/>
        <Progress percentComplete="100"/>
      </Event>
    </History>
  </Task>
  <Task id="{1C458431-993B-4490-9F5E-7B8A4D22C553}">
    <Anchor>
      <Comment id="{77DC1597-496D-4C3E-91BF-3953823C3672}"/>
    </Anchor>
    <History>
      <Event time="2026-01-05T19:01:15.18" id="{C3029325-CFC4-4081-95F0-9E5FC3AFCAF4}">
        <Attribution userId="S::dschiff1@paylocity.com::eea68032-6692-4cf0-a04b-8cc0fcbbf29a" userName="Dan Schiff" userProvider="AD"/>
        <Anchor>
          <Comment id="{77DC1597-496D-4C3E-91BF-3953823C3672}"/>
        </Anchor>
        <Create/>
      </Event>
      <Event time="2026-01-05T19:01:15.18" id="{E5F79A52-07E8-406A-AC23-3B0805BCFABC}">
        <Attribution userId="S::dschiff1@paylocity.com::eea68032-6692-4cf0-a04b-8cc0fcbbf29a" userName="Dan Schiff" userProvider="AD"/>
        <Anchor>
          <Comment id="{77DC1597-496D-4C3E-91BF-3953823C3672}"/>
        </Anchor>
        <Assign userId="S::CMiller5@Paylocity.com::78fca601-f276-4c30-8acc-fa7b91fd7d8e" userName="Cory Miller" userProvider="AD"/>
      </Event>
      <Event time="2026-01-05T19:01:15.18" id="{79C5ACC1-7017-4728-BF30-02A3C84D2C9C}">
        <Attribution userId="S::dschiff1@paylocity.com::eea68032-6692-4cf0-a04b-8cc0fcbbf29a" userName="Dan Schiff" userProvider="AD"/>
        <Anchor>
          <Comment id="{77DC1597-496D-4C3E-91BF-3953823C3672}"/>
        </Anchor>
        <SetTitle title="@Cory Miller @Jose Basilio what happened during this sprint for predictability to get so low?"/>
      </Event>
      <Event time="2026-02-02T14:24:49.73" id="{361E95F9-60EB-49EE-9888-8681CBC9E1CB}">
        <Attribution userId="S::CMiller5@Paylocity.com::78fca601-f276-4c30-8acc-fa7b91fd7d8e" userName="Cory Miller" userProvider="AD"/>
        <Progress percentComplete="100"/>
      </Event>
    </History>
  </Task>
  <Task id="{3B08D131-2BE9-42F5-82F5-5E20FDCBE6A7}">
    <Anchor>
      <Comment id="{CE80E115-6A65-4F51-9641-55C0085DD11B}"/>
    </Anchor>
    <History>
      <Event time="2025-12-18T15:55:26.33" id="{BB77BBAF-9C31-4022-A10A-D2DBEDB68BC2}">
        <Attribution userId="S::shubbard@paylocity.com::118ab062-d30f-4561-8505-66627eb9ae21" userName="Stephen Hubbard" userProvider="AD"/>
        <Anchor>
          <Comment id="{CE80E115-6A65-4F51-9641-55C0085DD11B}"/>
        </Anchor>
        <Create/>
      </Event>
      <Event time="2025-12-18T15:55:26.33" id="{D803D7B0-0005-419F-937E-82640B00B9D5}">
        <Attribution userId="S::shubbard@paylocity.com::118ab062-d30f-4561-8505-66627eb9ae21" userName="Stephen Hubbard" userProvider="AD"/>
        <Anchor>
          <Comment id="{CE80E115-6A65-4F51-9641-55C0085DD11B}"/>
        </Anchor>
        <Assign userId="S::BPrendergast@Paylocity.com::d99ce3d6-6529-49ad-b40e-b7781c96fb2c" userName="Bryan Prendergast" userProvider="AD"/>
      </Event>
      <Event time="2025-12-18T15:55:26.33" id="{B3DD0EC6-B9E2-489E-9297-406681E7D1A7}">
        <Attribution userId="S::shubbard@paylocity.com::118ab062-d30f-4561-8505-66627eb9ae21" userName="Stephen Hubbard" userProvider="AD"/>
        <Anchor>
          <Comment id="{CE80E115-6A65-4F51-9641-55C0085DD11B}"/>
        </Anchor>
        <SetTitle title="…Commitment Percentage wiki page (https://paylocity.atlassian.net/wiki/spaces/EN/pages/1742733772/Commitment). The instructions say to get the number from items in &quot;Done,&quot; but I believe we also want to include items in Dev Complete. @Bryan Prendergast"/>
      </Event>
      <Event time="2025-12-29T17:43:24.62" id="{AF374EA6-F292-472E-B58D-22D4315101AD}">
        <Attribution userId="S::BPrendergast@Paylocity.com::d99ce3d6-6529-49ad-b40e-b7781c96fb2c" userName="Bryan Prendergast" userProvider="AD"/>
        <Progress percentComplete="100"/>
      </Event>
    </History>
  </Task>
  <Task id="{78A9BF3B-A53A-4B32-A965-C15FBF6B346C}">
    <Anchor>
      <Comment id="{ED0DFA60-7E5F-4FE9-9E3F-27E5DFE06AE1}"/>
    </Anchor>
    <History>
      <Event time="2026-02-02T14:16:38.88" id="{9C7B997D-8947-4475-976A-00A56A39604D}">
        <Attribution userId="S::dschiff1@paylocity.com::eea68032-6692-4cf0-a04b-8cc0fcbbf29a" userName="Dan Schiff" userProvider="AD"/>
        <Anchor>
          <Comment id="{ED0DFA60-7E5F-4FE9-9E3F-27E5DFE06AE1}"/>
        </Anchor>
        <Create/>
      </Event>
      <Event time="2026-02-02T14:16:38.88" id="{284CDBE2-70DC-4E98-A073-BB00C86DBF7B}">
        <Attribution userId="S::dschiff1@paylocity.com::eea68032-6692-4cf0-a04b-8cc0fcbbf29a" userName="Dan Schiff" userProvider="AD"/>
        <Anchor>
          <Comment id="{ED0DFA60-7E5F-4FE9-9E3F-27E5DFE06AE1}"/>
        </Anchor>
        <Assign userId="S::CMiller5@Paylocity.com::78fca601-f276-4c30-8acc-fa7b91fd7d8e" userName="Cory Miller" userProvider="AD"/>
      </Event>
      <Event time="2026-02-02T14:16:38.88" id="{00CD4EB4-AA05-4610-BBF2-EDD56E5620A7}">
        <Attribution userId="S::dschiff1@paylocity.com::eea68032-6692-4cf0-a04b-8cc0fcbbf29a" userName="Dan Schiff" userProvider="AD"/>
        <Anchor>
          <Comment id="{ED0DFA60-7E5F-4FE9-9E3F-27E5DFE06AE1}"/>
        </Anchor>
        <SetTitle title="@Cory Miller @Jose Basilio any driving factor here?"/>
      </Event>
    </History>
  </Task>
  <Task id="{40702A3C-6DD5-4165-B478-E4058EAA8355}">
    <Anchor>
      <Comment id="{95B9C21D-EB3A-46D1-ABDC-39AB7E04C1F1}"/>
    </Anchor>
    <History>
      <Event time="2026-01-05T15:55:27.67" id="{B5322387-7D9A-4D8E-80F3-9B4EAC114AD3}">
        <Attribution userId="S::dschiff1@paylocity.com::eea68032-6692-4cf0-a04b-8cc0fcbbf29a" userName="Dan Schiff" userProvider="AD"/>
        <Anchor>
          <Comment id="{95B9C21D-EB3A-46D1-ABDC-39AB7E04C1F1}"/>
        </Anchor>
        <Create/>
      </Event>
      <Event time="2026-01-05T15:55:27.67" id="{0C9AECBB-ABDC-4B6E-B91F-C2C7AD3B042D}">
        <Attribution userId="S::dschiff1@paylocity.com::eea68032-6692-4cf0-a04b-8cc0fcbbf29a" userName="Dan Schiff" userProvider="AD"/>
        <Anchor>
          <Comment id="{95B9C21D-EB3A-46D1-ABDC-39AB7E04C1F1}"/>
        </Anchor>
        <Assign userId="S::dewing@paylocity.com::c577fc8d-b07e-4e05-9898-338b8a57958b" userName="David Ewing" userProvider="AD"/>
      </Event>
      <Event time="2026-01-05T15:55:27.67" id="{9D7E5400-CBC3-4D6A-83F5-32E71539C53F}">
        <Attribution userId="S::dschiff1@paylocity.com::eea68032-6692-4cf0-a04b-8cc0fcbbf29a" userName="Dan Schiff" userProvider="AD"/>
        <Anchor>
          <Comment id="{95B9C21D-EB3A-46D1-ABDC-39AB7E04C1F1}"/>
        </Anchor>
        <SetTitle title="@David Ewing @Stephen Hubbard what happened this sprint? Were holidays/PTO not accounted for during planning?"/>
      </Event>
    </History>
  </Task>
  <Task id="{FCD66042-C64C-42CD-9913-1F13919F2DA7}">
    <Anchor>
      <Comment id="{58FACE01-9815-43A2-A5EB-9288C16E3FAA}"/>
    </Anchor>
    <History>
      <Event time="2026-01-06T22:56:23.45" id="{E8CBBBAA-B0EE-4A12-84B1-0EC144EB3152}">
        <Attribution userId="S::shubbard@paylocity.com::118ab062-d30f-4561-8505-66627eb9ae21" userName="Stephen Hubbard" userProvider="AD"/>
        <Anchor>
          <Comment id="{58FACE01-9815-43A2-A5EB-9288C16E3FAA}"/>
        </Anchor>
        <Create/>
      </Event>
      <Event time="2026-01-06T22:56:23.45" id="{D5A72613-7D85-4E01-9A0A-03A8E9DF130B}">
        <Attribution userId="S::shubbard@paylocity.com::118ab062-d30f-4561-8505-66627eb9ae21" userName="Stephen Hubbard" userProvider="AD"/>
        <Anchor>
          <Comment id="{58FACE01-9815-43A2-A5EB-9288C16E3FAA}"/>
        </Anchor>
        <Assign userId="S::rcrismariu@paylocity.com::0d1d862a-8797-4630-af9c-76e7c1de7662" userName="Ruben Crismariu" userProvider="AD"/>
      </Event>
      <Event time="2026-01-06T22:56:23.45" id="{E6729ABC-FBCE-46BA-B7D2-6EDA89B89BBB}">
        <Attribution userId="S::shubbard@paylocity.com::118ab062-d30f-4561-8505-66627eb9ae21" userName="Stephen Hubbard" userProvider="AD"/>
        <Anchor>
          <Comment id="{58FACE01-9815-43A2-A5EB-9288C16E3FAA}"/>
        </Anchor>
        <SetTitle title="@Ruben Crismariu - Nice trend over the last several sprints!"/>
      </Event>
      <Event time="2026-01-12T17:34:42.93" id="{B9F87C82-AFC8-4789-AFE2-BDFA998C6D52}">
        <Attribution userId="S::rcrismariu@paylocity.com::0d1d862a-8797-4630-af9c-76e7c1de7662" userName="Ruben Crismariu" userProvider="AD"/>
        <Progress percentComplete="100"/>
      </Event>
    </History>
  </Task>
  <Task id="{104E8946-6EEC-42DA-A941-63699B741CB2}">
    <Anchor>
      <Comment id="{393F268D-F355-4E32-8F1E-104E3CA9BB55}"/>
    </Anchor>
    <History>
      <Event time="2025-11-03T15:50:32.59" id="{3FB864F5-D7BA-4B87-A3F4-F3EC99C80CCA}">
        <Attribution userId="S::dschiff1@paylocity.com::eea68032-6692-4cf0-a04b-8cc0fcbbf29a" userName="Dan Schiff" userProvider="AD"/>
        <Anchor>
          <Comment id="{F7E645F9-B6BC-4059-A88D-F128719386E3}"/>
        </Anchor>
        <Create/>
      </Event>
      <Event time="2025-11-03T15:50:32.59" id="{802043AF-396B-484A-ACA0-2EA44A0CBB5E}">
        <Attribution userId="S::dschiff1@paylocity.com::eea68032-6692-4cf0-a04b-8cc0fcbbf29a" userName="Dan Schiff" userProvider="AD"/>
        <Anchor>
          <Comment id="{F7E645F9-B6BC-4059-A88D-F128719386E3}"/>
        </Anchor>
        <Assign userId="S::CMiller5@Paylocity.com::78fca601-f276-4c30-8acc-fa7b91fd7d8e" userName="Cory Miller" userProvider="AD"/>
      </Event>
      <Event time="2025-11-03T15:50:32.59" id="{AFCE44DC-4899-4D40-9128-7EB88C347E7F}">
        <Attribution userId="S::dschiff1@paylocity.com::eea68032-6692-4cf0-a04b-8cc0fcbbf29a" userName="Dan Schiff" userProvider="AD"/>
        <Anchor>
          <Comment id="{F7E645F9-B6BC-4059-A88D-F128719386E3}"/>
        </Anchor>
        <SetTitle title="@Cory Miller just a ping on Scott's request"/>
      </Event>
      <Event time="2025-11-04T14:03:19.03" id="{7FAB3B5C-1B5B-49CD-A9B1-B02C4DE8C2ED}">
        <Attribution userId="S::CMiller5@Paylocity.com::78fca601-f276-4c30-8acc-fa7b91fd7d8e" userName="Cory Miller" userProvider="AD"/>
        <Progress percentComplete="100"/>
      </Event>
    </History>
  </Task>
  <Task id="{6C46D949-A9DB-4784-AA51-8826FA134BFD}">
    <Anchor>
      <Comment id="{90A0140A-4E53-467A-A38D-C776CC20A3AB}"/>
    </Anchor>
    <History>
      <Event time="2026-01-05T19:02:39.21" id="{B94FF870-1080-416C-9704-012EDABE4E84}">
        <Attribution userId="S::dschiff1@paylocity.com::eea68032-6692-4cf0-a04b-8cc0fcbbf29a" userName="Dan Schiff" userProvider="AD"/>
        <Anchor>
          <Comment id="{90A0140A-4E53-467A-A38D-C776CC20A3AB}"/>
        </Anchor>
        <Create/>
      </Event>
      <Event time="2026-01-05T19:02:39.21" id="{4A6227E8-891C-4639-AB55-867A78A9AA3D}">
        <Attribution userId="S::dschiff1@paylocity.com::eea68032-6692-4cf0-a04b-8cc0fcbbf29a" userName="Dan Schiff" userProvider="AD"/>
        <Anchor>
          <Comment id="{90A0140A-4E53-467A-A38D-C776CC20A3AB}"/>
        </Anchor>
        <Assign userId="S::CMiller5@Paylocity.com::78fca601-f276-4c30-8acc-fa7b91fd7d8e" userName="Cory Miller" userProvider="AD"/>
      </Event>
      <Event time="2026-01-05T19:02:39.21" id="{60FD64F6-3024-44C3-B198-BF8264F38C93}">
        <Attribution userId="S::dschiff1@paylocity.com::eea68032-6692-4cf0-a04b-8cc0fcbbf29a" userName="Dan Schiff" userProvider="AD"/>
        <Anchor>
          <Comment id="{90A0140A-4E53-467A-A38D-C776CC20A3AB}"/>
        </Anchor>
        <SetTitle title="@Cory Miller @Jose Basilio is this because the team is now &quot;Innovation&quot; only? Do you expect to ever see this &gt; 0?"/>
      </Event>
      <Event time="2026-02-02T14:24:39.90" id="{F9C4D551-4D93-4087-AC06-AFDDA0FD1F1A}">
        <Attribution userId="S::CMiller5@Paylocity.com::78fca601-f276-4c30-8acc-fa7b91fd7d8e" userName="Cory Miller" userProvider="AD"/>
        <Progress percentComplete="100"/>
      </Event>
    </History>
  </Task>
  <Task id="{2333E255-5B78-4A8E-B30D-C1A00ED7E9CD}">
    <Anchor>
      <Comment id="{69851D30-4677-4D74-9510-34BAAF4238F3}"/>
    </Anchor>
    <History>
      <Event time="2026-01-05T19:06:13.79" id="{8EF06EB1-6920-4997-8FC1-0F7577564605}">
        <Attribution userId="S::dschiff1@paylocity.com::eea68032-6692-4cf0-a04b-8cc0fcbbf29a" userName="Dan Schiff" userProvider="AD"/>
        <Anchor>
          <Comment id="{69851D30-4677-4D74-9510-34BAAF4238F3}"/>
        </Anchor>
        <Create/>
      </Event>
      <Event time="2026-01-05T19:06:13.79" id="{CFA8F473-D8A8-44D9-99EE-A83B3BF89E4D}">
        <Attribution userId="S::dschiff1@paylocity.com::eea68032-6692-4cf0-a04b-8cc0fcbbf29a" userName="Dan Schiff" userProvider="AD"/>
        <Anchor>
          <Comment id="{69851D30-4677-4D74-9510-34BAAF4238F3}"/>
        </Anchor>
        <Assign userId="S::CMiller5@Paylocity.com::78fca601-f276-4c30-8acc-fa7b91fd7d8e" userName="Cory Miller" userProvider="AD"/>
      </Event>
      <Event time="2026-01-05T19:06:13.79" id="{7D8BA2B1-130A-4985-B8C4-60C41272D5A9}">
        <Attribution userId="S::dschiff1@paylocity.com::eea68032-6692-4cf0-a04b-8cc0fcbbf29a" userName="Dan Schiff" userProvider="AD"/>
        <Anchor>
          <Comment id="{69851D30-4677-4D74-9510-34BAAF4238F3}"/>
        </Anchor>
        <SetTitle title="@Cory Miller @Jose Basilio what's driving this increase in PDRs?"/>
      </Event>
      <Event time="2026-02-02T14:25:25.15" id="{1EA77779-B72C-4F5D-9812-B984A379DA52}">
        <Attribution userId="S::CMiller5@Paylocity.com::78fca601-f276-4c30-8acc-fa7b91fd7d8e" userName="Cory Miller" userProvider="AD"/>
        <Progress percentComplete="100"/>
      </Event>
    </History>
  </Task>
  <Task id="{C880227B-9739-4AC2-9E4C-83F04C06F8CA}">
    <Anchor>
      <Comment id="{58411DC1-7733-429B-8E90-FF0B40657D20}"/>
    </Anchor>
    <History>
      <Event time="2026-02-02T14:00:47.34" id="{233CB9D0-02F7-49F1-B6BB-03BB5EA91886}">
        <Attribution userId="S::dschiff1@paylocity.com::eea68032-6692-4cf0-a04b-8cc0fcbbf29a" userName="Dan Schiff" userProvider="AD"/>
        <Anchor>
          <Comment id="{58411DC1-7733-429B-8E90-FF0B40657D20}"/>
        </Anchor>
        <Create/>
      </Event>
      <Event time="2026-02-02T14:00:47.34" id="{96EE7D78-2B12-44E9-AA66-ADD3A58D3A3C}">
        <Attribution userId="S::dschiff1@paylocity.com::eea68032-6692-4cf0-a04b-8cc0fcbbf29a" userName="Dan Schiff" userProvider="AD"/>
        <Anchor>
          <Comment id="{58411DC1-7733-429B-8E90-FF0B40657D20}"/>
        </Anchor>
        <Assign userId="S::tromey@paylocity.com::b06824af-af48-4af1-adc2-1fd6658f0a1a" userName="Trevor Romey" userProvider="AD"/>
      </Event>
      <Event time="2026-02-02T14:00:47.34" id="{A46368D5-0B41-4DFB-A07D-42F5290996C1}">
        <Attribution userId="S::dschiff1@paylocity.com::eea68032-6692-4cf0-a04b-8cc0fcbbf29a" userName="Dan Schiff" userProvider="AD"/>
        <Anchor>
          <Comment id="{58411DC1-7733-429B-8E90-FF0B40657D20}"/>
        </Anchor>
        <SetTitle title="@Trevor Romey was this reduction due to action taken?"/>
      </Event>
      <Event time="2026-02-03T15:58:01.56" id="{458C3242-7D11-4E7D-A2EB-8E4465811B20}">
        <Attribution userId="S::dschiff1@paylocity.com::eea68032-6692-4cf0-a04b-8cc0fcbbf29a" userName="Dan Schiff" userProvider="AD"/>
        <Progress percentComplete="100"/>
      </Event>
    </History>
  </Task>
  <Task id="{C30A0B93-52DB-4C42-9841-D9C207476566}">
    <Anchor>
      <Comment id="{6940C7D2-EDBA-4D0B-9654-753CF3759F7D}"/>
    </Anchor>
    <History>
      <Event time="2026-02-02T14:01:49.96" id="{2B6B2EA5-3465-40FA-89C9-71EDB3E7B534}">
        <Attribution userId="S::dschiff1@paylocity.com::eea68032-6692-4cf0-a04b-8cc0fcbbf29a" userName="Dan Schiff" userProvider="AD"/>
        <Anchor>
          <Comment id="{6940C7D2-EDBA-4D0B-9654-753CF3759F7D}"/>
        </Anchor>
        <Create/>
      </Event>
      <Event time="2026-02-02T14:01:49.96" id="{80BB2AF5-17D0-4733-AE98-855053F2C266}">
        <Attribution userId="S::dschiff1@paylocity.com::eea68032-6692-4cf0-a04b-8cc0fcbbf29a" userName="Dan Schiff" userProvider="AD"/>
        <Anchor>
          <Comment id="{6940C7D2-EDBA-4D0B-9654-753CF3759F7D}"/>
        </Anchor>
        <Assign userId="S::rcrismariu@paylocity.com::0d1d862a-8797-4630-af9c-76e7c1de7662" userName="Ruben Crismariu" userProvider="AD"/>
      </Event>
      <Event time="2026-02-02T14:01:49.96" id="{8FAE59E8-58C0-4902-AACC-30B746E1AD8D}">
        <Attribution userId="S::dschiff1@paylocity.com::eea68032-6692-4cf0-a04b-8cc0fcbbf29a" userName="Dan Schiff" userProvider="AD"/>
        <Anchor>
          <Comment id="{6940C7D2-EDBA-4D0B-9654-753CF3759F7D}"/>
        </Anchor>
        <SetTitle title="@Ruben Crismariu big reduction in cycle time! What do you attribute this to? Was there any specific action taken?"/>
      </Event>
      <Event time="2026-02-03T15:27:12.75" id="{99EDE381-C42D-4A1D-97DD-DABC587D0CAC}">
        <Attribution userId="S::rcrismariu@paylocity.com::0d1d862a-8797-4630-af9c-76e7c1de7662" userName="Ruben Crismariu" userProvider="AD"/>
        <Progress percentComplete="100"/>
      </Event>
    </History>
  </Task>
  <Task id="{051288A6-CAE7-4178-8C2F-4E5B7B20B0FE}">
    <Anchor>
      <Comment id="{969E49B8-78E9-4FFA-B41D-149D6357ED2E}"/>
    </Anchor>
    <History>
      <Event time="2026-02-04T17:06:18.72" id="{6A58CF0E-2E5E-40CE-A77E-DB206C332262}">
        <Attribution userId="S::shubbard@paylocity.com::118ab062-d30f-4561-8505-66627eb9ae21" userName="Stephen Hubbard" userProvider="AD"/>
        <Anchor>
          <Comment id="{969E49B8-78E9-4FFA-B41D-149D6357ED2E}"/>
        </Anchor>
        <Create/>
      </Event>
      <Event time="2026-02-04T17:06:18.72" id="{FE415477-E505-442B-B8E2-9DA3E45CE588}">
        <Attribution userId="S::shubbard@paylocity.com::118ab062-d30f-4561-8505-66627eb9ae21" userName="Stephen Hubbard" userProvider="AD"/>
        <Anchor>
          <Comment id="{969E49B8-78E9-4FFA-B41D-149D6357ED2E}"/>
        </Anchor>
        <Assign userId="S::rcrismariu@paylocity.com::0d1d862a-8797-4630-af9c-76e7c1de7662" userName="Ruben Crismariu" userProvider="AD"/>
      </Event>
      <Event time="2026-02-04T17:06:18.72" id="{19D8A5B7-3B37-4DB4-91CA-681D31C6C636}">
        <Attribution userId="S::shubbard@paylocity.com::118ab062-d30f-4561-8505-66627eb9ae21" userName="Stephen Hubbard" userProvider="AD"/>
        <Anchor>
          <Comment id="{969E49B8-78E9-4FFA-B41D-149D6357ED2E}"/>
        </Anchor>
        <SetTitle title="@Ruben Crismariu The last 2 sprints look like a very positive trend for Maintenance! Any reason for the lower amount of RTB? Maybe the shift to focus on stability for year-end?"/>
      </Event>
    </History>
  </Task>
  <Task id="{67EE7FC6-E255-478E-8653-C82F7CD63142}">
    <Anchor>
      <Comment id="{BB16A7BA-8BC0-438A-A54A-44C689DD69D3}"/>
    </Anchor>
    <History>
      <Event time="2026-02-02T14:03:52.15" id="{2AE7EEAF-A941-49E5-88F3-CD0464C8FF25}">
        <Attribution userId="S::dschiff1@paylocity.com::eea68032-6692-4cf0-a04b-8cc0fcbbf29a" userName="Dan Schiff" userProvider="AD"/>
        <Anchor>
          <Comment id="{7DC02100-CCA0-438D-ABD7-590906B4717E}"/>
        </Anchor>
        <Create/>
      </Event>
      <Event time="2026-02-02T14:03:52.15" id="{C7EA1931-E1F4-4C76-BE7D-E97945A1E3AC}">
        <Attribution userId="S::dschiff1@paylocity.com::eea68032-6692-4cf0-a04b-8cc0fcbbf29a" userName="Dan Schiff" userProvider="AD"/>
        <Anchor>
          <Comment id="{7DC02100-CCA0-438D-ABD7-590906B4717E}"/>
        </Anchor>
        <Assign userId="S::ahunter2@paylocity.com::cfde8d4f-52d0-4ede-9172-11b6fa8c3c49" userName="Austin Hunter" userProvider="AD"/>
      </Event>
      <Event time="2026-02-02T14:03:52.15" id="{1E662C84-B14C-4E0A-A54B-868F979B5969}">
        <Attribution userId="S::dschiff1@paylocity.com::eea68032-6692-4cf0-a04b-8cc0fcbbf29a" userName="Dan Schiff" userProvider="AD"/>
        <Anchor>
          <Comment id="{7DC02100-CCA0-438D-ABD7-590906B4717E}"/>
        </Anchor>
        <SetTitle title="Thanks @Austin Hunter. Do you expect the unplanned work for MMP to die down this sprint? Or at least be more predictable for sprint planning purposes?"/>
      </Event>
      <Event time="2026-02-02T15:54:11.87" id="{8E1E930B-FE17-4EB8-B390-68911C0A20CA}">
        <Attribution userId="S::ahunter2@paylocity.com::cfde8d4f-52d0-4ede-9172-11b6fa8c3c49" userName="Austin Hunter" userProvider="AD"/>
        <Progress percentComplete="100"/>
      </Event>
    </History>
  </Task>
  <Task id="{7F8DAEC8-564B-41AC-A8E5-8BD31A15C2D8}">
    <Anchor>
      <Comment id="{53766872-3629-4122-A605-A708398FE90F}"/>
    </Anchor>
    <History>
      <Event time="2026-01-05T19:00:20.12" id="{7CFC3FFC-C484-4844-9F33-1921F15DF162}">
        <Attribution userId="S::dschiff1@paylocity.com::eea68032-6692-4cf0-a04b-8cc0fcbbf29a" userName="Dan Schiff" userProvider="AD"/>
        <Anchor>
          <Comment id="{53766872-3629-4122-A605-A708398FE90F}"/>
        </Anchor>
        <Create/>
      </Event>
      <Event time="2026-01-05T19:00:20.12" id="{C5CFFBD8-AD6D-42F8-8E7A-9A6F4A0B4201}">
        <Attribution userId="S::dschiff1@paylocity.com::eea68032-6692-4cf0-a04b-8cc0fcbbf29a" userName="Dan Schiff" userProvider="AD"/>
        <Anchor>
          <Comment id="{53766872-3629-4122-A605-A708398FE90F}"/>
        </Anchor>
        <Assign userId="S::ahunter2@paylocity.com::cfde8d4f-52d0-4ede-9172-11b6fa8c3c49" userName="Austin Hunter" userProvider="AD"/>
      </Event>
      <Event time="2026-01-05T19:00:20.12" id="{A15E4D70-2820-4C74-B9BC-D2C2255A4E21}">
        <Attribution userId="S::dschiff1@paylocity.com::eea68032-6692-4cf0-a04b-8cc0fcbbf29a" userName="Dan Schiff" userProvider="AD"/>
        <Anchor>
          <Comment id="{53766872-3629-4122-A605-A708398FE90F}"/>
        </Anchor>
        <SetTitle title="@Austin Hunter what happened this sprint? Were holidays/PTO not accounted for during planning?"/>
      </Event>
    </History>
  </Task>
  <Task id="{C20107CE-BE96-4CDB-933B-DDE06A71D88F}">
    <Anchor>
      <Comment id="{CB7348E9-92F5-449C-8370-72C64B78DFDA}"/>
    </Anchor>
    <History>
      <Event time="2026-01-06T22:52:14.49" id="{40355B5C-7C2C-4E80-B62A-D2B3CF01E2F6}">
        <Attribution userId="S::shubbard@paylocity.com::118ab062-d30f-4561-8505-66627eb9ae21" userName="Stephen Hubbard" userProvider="AD"/>
        <Anchor>
          <Comment id="{CB7348E9-92F5-449C-8370-72C64B78DFDA}"/>
        </Anchor>
        <Create/>
      </Event>
      <Event time="2026-01-06T22:52:14.49" id="{CC0180A2-C3FD-4EB3-A75D-8C217D794A55}">
        <Attribution userId="S::shubbard@paylocity.com::118ab062-d30f-4561-8505-66627eb9ae21" userName="Stephen Hubbard" userProvider="AD"/>
        <Anchor>
          <Comment id="{CB7348E9-92F5-449C-8370-72C64B78DFDA}"/>
        </Anchor>
        <Assign userId="S::BPrendergast@Paylocity.com::d99ce3d6-6529-49ad-b40e-b7781c96fb2c" userName="Bryan Prendergast" userProvider="AD"/>
      </Event>
      <Event time="2026-01-06T22:52:14.49" id="{6E8E327D-2BF1-4108-9631-8F5D709AF55B}">
        <Attribution userId="S::shubbard@paylocity.com::118ab062-d30f-4561-8505-66627eb9ae21" userName="Stephen Hubbard" userProvider="AD"/>
        <Anchor>
          <Comment id="{CB7348E9-92F5-449C-8370-72C64B78DFDA}"/>
        </Anchor>
        <SetTitle title="@Bryan Prendergast This continues to feel pretty high. Are the bugs and tech debt you mention below part of the overall &quot;maintenance&quot; epic/initiative? (If so, maybe the epic should be marked as &quot;planned&quot; since we do plan to take on small issues as they …"/>
      </Event>
    </History>
  </Task>
  <Task id="{79CACBD6-7778-4781-A325-74C7D9D11021}">
    <Anchor>
      <Comment id="{0BE3E88B-AF7D-4EB1-A493-B2269AE547AF}"/>
    </Anchor>
    <History>
      <Event time="2026-02-02T14:02:34.78" id="{48EE44F9-3D53-437C-88D6-55BA67636721}">
        <Attribution userId="S::dschiff1@paylocity.com::eea68032-6692-4cf0-a04b-8cc0fcbbf29a" userName="Dan Schiff" userProvider="AD"/>
        <Anchor>
          <Comment id="{0BE3E88B-AF7D-4EB1-A493-B2269AE547AF}"/>
        </Anchor>
        <Create/>
      </Event>
      <Event time="2026-02-02T14:02:34.78" id="{256BA78E-12E2-4453-A46F-5873E4021405}">
        <Attribution userId="S::dschiff1@paylocity.com::eea68032-6692-4cf0-a04b-8cc0fcbbf29a" userName="Dan Schiff" userProvider="AD"/>
        <Anchor>
          <Comment id="{0BE3E88B-AF7D-4EB1-A493-B2269AE547AF}"/>
        </Anchor>
        <Assign userId="S::dewing@paylocity.com::c577fc8d-b07e-4e05-9898-338b8a57958b" userName="David Ewing" userProvider="AD"/>
      </Event>
      <Event time="2026-02-02T14:02:34.78" id="{D5FABA62-F720-40C5-A9C2-464DF4621F84}">
        <Attribution userId="S::dschiff1@paylocity.com::eea68032-6692-4cf0-a04b-8cc0fcbbf29a" userName="Dan Schiff" userProvider="AD"/>
        <Anchor>
          <Comment id="{0BE3E88B-AF7D-4EB1-A493-B2269AE547AF}"/>
        </Anchor>
        <SetTitle title="@David Ewing was this reduction due to any specific action taken?"/>
      </Event>
    </History>
  </Task>
  <Task id="{ADDCEFDE-F764-4415-B3EC-92F9418195F7}">
    <Anchor>
      <Comment id="{8E00BA08-8B6B-4A44-9889-21039BD31BB5}"/>
    </Anchor>
    <History>
      <Event time="2026-02-02T14:17:11.14" id="{AD23B544-5C9C-486C-8EC4-BAC923E50C1A}">
        <Attribution userId="S::dschiff1@paylocity.com::eea68032-6692-4cf0-a04b-8cc0fcbbf29a" userName="Dan Schiff" userProvider="AD"/>
        <Anchor>
          <Comment id="{8E00BA08-8B6B-4A44-9889-21039BD31BB5}"/>
        </Anchor>
        <Create/>
      </Event>
      <Event time="2026-02-02T14:17:11.14" id="{B5192B1B-0530-4D47-ADB2-6A2BE87C862D}">
        <Attribution userId="S::dschiff1@paylocity.com::eea68032-6692-4cf0-a04b-8cc0fcbbf29a" userName="Dan Schiff" userProvider="AD"/>
        <Anchor>
          <Comment id="{8E00BA08-8B6B-4A44-9889-21039BD31BB5}"/>
        </Anchor>
        <Assign userId="S::CMiller5@Paylocity.com::78fca601-f276-4c30-8acc-fa7b91fd7d8e" userName="Cory Miller" userProvider="AD"/>
      </Event>
      <Event time="2026-02-02T14:17:11.14" id="{8FD91B8E-66D0-4D5F-9BDD-EEEE0993FCDC}">
        <Attribution userId="S::dschiff1@paylocity.com::eea68032-6692-4cf0-a04b-8cc0fcbbf29a" userName="Dan Schiff" userProvider="AD"/>
        <Anchor>
          <Comment id="{8E00BA08-8B6B-4A44-9889-21039BD31BB5}"/>
        </Anchor>
        <SetTitle title="@Cory Miller @Jose Basilio anything action-worthy here?"/>
      </Event>
    </History>
  </Task>
</Tasks>
</file>

<file path=xl/persons/person.xml><?xml version="1.0" encoding="utf-8"?>
<personList xmlns="http://schemas.microsoft.com/office/spreadsheetml/2018/threadedcomments" xmlns:x="http://schemas.openxmlformats.org/spreadsheetml/2006/main">
  <person displayName="Bob Baird" id="{02298318-B8BA-A340-9A4A-DDFBFCCE78CF}" userId="bbaird@paylocity.com" providerId="PeoplePicker"/>
  <person displayName="David Ewing" id="{58068631-2141-4FE1-B759-96966DDF18FE}" userId="dewing@paylocity.com" providerId="PeoplePicker"/>
  <person displayName="Trevor Romey" id="{4F4A2D06-21ED-4DD7-AF81-93B1EE1DA5B4}" userId="tromey@paylocity.com" providerId="PeoplePicker"/>
  <person displayName="Monica Johlic" id="{A1C53A93-497B-48B6-A773-32E0F043FF4B}" userId="mjohlic@paylocity.com" providerId="PeoplePicker"/>
  <person displayName="Cory Miller" id="{1C604ABE-C139-4F0A-AE88-8D4A182AF6FE}" userId="CMiller5@Paylocity.com" providerId="PeoplePicker"/>
  <person displayName="Dan Schiff" id="{5F129548-57E1-4699-BED7-0F8089B6760C}" userId="DSchiff1@paylocity.com" providerId="PeoplePicker"/>
  <person displayName="Jenny Weaver" id="{CD872072-9FA1-42CF-9FD2-165063B0B13F}" userId="JWeaver3@paylocity.com" providerId="PeoplePicker"/>
  <person displayName="Austin Hunter" id="{96EC21E8-D7CC-454F-B5E0-5E0D254231DB}" userId="ahunter2@paylocity.com" providerId="PeoplePicker"/>
  <person displayName="Jose Basilio" id="{DBE0EB51-5AF4-A04E-B010-32FB47087FCD}" userId="jbasilio@paylocity.com" providerId="PeoplePicker"/>
  <person displayName="Stephen Hubbard" id="{6F434760-1174-45E3-A6E6-3BE80FE166BE}" userId="shubbard@paylocity.com" providerId="PeoplePicker"/>
  <person displayName="Scott Jucovics" id="{E97B24DE-67F2-450D-B522-7AB8D0E20F23}" userId="sjucovics@paylocity.com" providerId="PeoplePicker"/>
  <person displayName="Ruben Crismariu" id="{39EF3575-E61E-4EAC-8B44-2A0EAF2958C9}" userId="rcrismariu@paylocity.com" providerId="PeoplePicker"/>
  <person displayName="Bryan Prendergast" id="{D15B5079-1A76-49D5-998B-8DA4D51BB5CB}" userId="BPrendergast@Paylocity.com" providerId="PeoplePicker"/>
  <person displayName="Bob Baird" id="{11AEECDB-E7A0-40BA-9F95-31F1DD8DAE83}" userId="S::bbaird@paylocity.com::275d4edb-5088-49a4-8215-219320730dba" providerId="AD"/>
  <person displayName="David Ewing" id="{23F49498-1FE4-4E03-952B-9D8793AEA56F}" userId="S::dewing@paylocity.com::c577fc8d-b07e-4e05-9898-338b8a57958b" providerId="AD"/>
  <person displayName="Trevor Romey" id="{7F33B518-65D7-4107-9A2A-76513B6F860A}" userId="S::tromey@paylocity.com::b06824af-af48-4af1-adc2-1fd6658f0a1a" providerId="AD"/>
  <person displayName="Monica Johlic" id="{C3B57594-1D08-4895-AEBE-6A43354F6B2A}" userId="S::mjohlic@paylocity.com::5eff6236-a4ca-42e1-b7c9-96bc6d37c78f" providerId="AD"/>
  <person displayName="Dan Schiff" id="{D50A5029-F878-40F9-A126-E9724BE08C40}" userId="S::DSchiff1@paylocity.com::eea68032-6692-4cf0-a04b-8cc0fcbbf29a" providerId="AD"/>
  <person displayName="Austin Hunter" id="{4D4FF0A7-41A2-4335-8BB3-64419C4831E7}" userId="S::ahunter2@paylocity.com::cfde8d4f-52d0-4ede-9172-11b6fa8c3c49" providerId="AD"/>
  <person displayName="Cory Miller" id="{0563F14E-ABB4-4234-9A4B-5903F181C84B}" userId="S::cmiller5@paylocity.com::78fca601-f276-4c30-8acc-fa7b91fd7d8e" providerId="AD"/>
  <person displayName="Dan Schiff" id="{6C38AC3A-7BEE-4372-B62F-C4672F29B693}" userId="S::dschiff1@paylocity.com::eea68032-6692-4cf0-a04b-8cc0fcbbf29a" providerId="AD"/>
  <person displayName="Jose Basilio" id="{2925F371-FC45-488A-8705-C3FFA4C5F504}" userId="S::jbasilio@paylocity.com::f3935f92-2047-48a3-b0cb-ed015dbd5992" providerId="AD"/>
  <person displayName="Stephen Hubbard" id="{C5FCA278-69E2-40FE-9A5A-1A928D8BC003}" userId="S::shubbard@paylocity.com::118ab062-d30f-4561-8505-66627eb9ae21" providerId="AD"/>
  <person displayName="Scott Jucovics" id="{BB6CAC19-7927-284F-A182-1DF26B88A34D}" userId="S::sjucovics@paylocity.com::8d52f265-afd6-4dac-bb82-3e5f14ff9e7c" providerId="AD"/>
  <person displayName="Ruben Crismariu" id="{52F446A8-69F4-F244-B46A-D48D83738FA0}" userId="S::rcrismariu@paylocity.com::0d1d862a-8797-4630-af9c-76e7c1de7662" providerId="AD"/>
  <person displayName="Bryan Prendergast" id="{C8B47AF4-18AE-4045-A3F2-E2D0DECAEDA5}" userId="S::bprendergast@paylocity.com::d99ce3d6-6529-49ad-b40e-b7781c96fb2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ul Varma" refreshedDate="45862.424005324072" createdVersion="8" refreshedVersion="8" minRefreshableVersion="3" recordCount="35" xr:uid="{26F487C0-479D-944C-A932-3A08CE8DF9D2}">
  <cacheSource type="worksheet">
    <worksheetSource ref="A1:I1" sheet="Product-Level Template"/>
  </cacheSource>
  <cacheFields count="8">
    <cacheField name="Team" numFmtId="0">
      <sharedItems containsBlank="1" count="2">
        <s v="Team 1"/>
        <m/>
      </sharedItems>
    </cacheField>
    <cacheField name="Metric Group" numFmtId="0">
      <sharedItems containsBlank="1" count="7">
        <s v="Productivity and Capacity"/>
        <s v="Reliability "/>
        <m/>
        <s v="Quality"/>
        <s v="Delivery &amp; Commitments "/>
        <s v="Sentiment &amp; Team Health"/>
        <s v="Quality "/>
      </sharedItems>
    </cacheField>
    <cacheField name="Metric" numFmtId="0">
      <sharedItems count="31">
        <s v="Sprint Predictability "/>
        <s v="Cycle Time (Days) "/>
        <s v="Unplanned work %"/>
        <s v="Wasted Effort %"/>
        <s v="Sev 1/2/3 Incidents"/>
        <s v="Sev 1"/>
        <s v="Sev 2"/>
        <s v="Sev 3"/>
        <s v="MTTR (Sev 1)"/>
        <s v="Dispositioned PDR Bugs"/>
        <s v="Created"/>
        <s v="Resolved"/>
        <s v="Change Failure Rate"/>
        <s v="Code Coverage %"/>
        <s v="Commitment %"/>
        <s v="Investment Allocations"/>
        <s v="R"/>
        <s v="T"/>
        <s v="M"/>
        <s v="O"/>
        <s v="Deployment Frequency"/>
        <s v="Lead Time for Changes"/>
        <s v="Developer Satisfaction"/>
        <s v="Perceived Productivity "/>
        <s v="Ease of Delivery "/>
        <s v="On-all Load (hrs/month) "/>
        <s v="PR Review Velocity "/>
        <s v="X/Wk"/>
        <s v="X/FTE Wk"/>
        <s v="PRS Merged"/>
        <s v="PR Comments"/>
      </sharedItems>
    </cacheField>
    <cacheField name="Target" numFmtId="0">
      <sharedItems containsBlank="1" count="18">
        <s v="80 – 85%"/>
        <s v="5 – 8 days"/>
        <s v="30 – 40%"/>
        <s v="5 – 12%"/>
        <s v="0 – 1 / 1 – 3 / 5 – 10"/>
        <m/>
        <s v="6 – 12 hours"/>
        <s v="10 – 25 / month"/>
        <s v="20 – 30%"/>
        <s v="60 – 75%"/>
        <s v="80 – 90%"/>
        <s v="R: 40 - 55%_x000a_T: 5 - 15%_x000a_M: 30 - 40%"/>
        <s v="1 – 2x week"/>
        <s v="1 – 3 days"/>
        <s v="70-77"/>
        <s v="65-75"/>
        <s v="70-80"/>
        <s v="20-30 hours"/>
      </sharedItems>
    </cacheField>
    <cacheField name="Jul-25" numFmtId="0">
      <sharedItems containsNonDate="0" containsString="0" containsBlank="1" count="1">
        <m/>
      </sharedItems>
    </cacheField>
    <cacheField name="Jul-252" numFmtId="0">
      <sharedItems containsNonDate="0" containsString="0" containsBlank="1"/>
    </cacheField>
    <cacheField name="Aug-25" numFmtId="0">
      <sharedItems containsNonDate="0" containsString="0" containsBlank="1"/>
    </cacheField>
    <cacheField name="Aug-252"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x v="0"/>
    <x v="0"/>
    <x v="0"/>
    <m/>
    <m/>
    <m/>
  </r>
  <r>
    <x v="0"/>
    <x v="0"/>
    <x v="1"/>
    <x v="1"/>
    <x v="0"/>
    <m/>
    <m/>
    <m/>
  </r>
  <r>
    <x v="0"/>
    <x v="0"/>
    <x v="2"/>
    <x v="2"/>
    <x v="0"/>
    <m/>
    <m/>
    <m/>
  </r>
  <r>
    <x v="0"/>
    <x v="0"/>
    <x v="3"/>
    <x v="3"/>
    <x v="0"/>
    <m/>
    <m/>
    <m/>
  </r>
  <r>
    <x v="0"/>
    <x v="1"/>
    <x v="4"/>
    <x v="4"/>
    <x v="0"/>
    <m/>
    <m/>
    <m/>
  </r>
  <r>
    <x v="1"/>
    <x v="2"/>
    <x v="5"/>
    <x v="5"/>
    <x v="0"/>
    <m/>
    <m/>
    <m/>
  </r>
  <r>
    <x v="1"/>
    <x v="2"/>
    <x v="6"/>
    <x v="5"/>
    <x v="0"/>
    <m/>
    <m/>
    <m/>
  </r>
  <r>
    <x v="1"/>
    <x v="2"/>
    <x v="7"/>
    <x v="5"/>
    <x v="0"/>
    <m/>
    <m/>
    <m/>
  </r>
  <r>
    <x v="0"/>
    <x v="1"/>
    <x v="8"/>
    <x v="6"/>
    <x v="0"/>
    <m/>
    <m/>
    <m/>
  </r>
  <r>
    <x v="0"/>
    <x v="3"/>
    <x v="9"/>
    <x v="7"/>
    <x v="0"/>
    <m/>
    <m/>
    <m/>
  </r>
  <r>
    <x v="1"/>
    <x v="2"/>
    <x v="10"/>
    <x v="5"/>
    <x v="0"/>
    <m/>
    <m/>
    <m/>
  </r>
  <r>
    <x v="1"/>
    <x v="2"/>
    <x v="11"/>
    <x v="5"/>
    <x v="0"/>
    <m/>
    <m/>
    <m/>
  </r>
  <r>
    <x v="0"/>
    <x v="3"/>
    <x v="12"/>
    <x v="8"/>
    <x v="0"/>
    <m/>
    <m/>
    <m/>
  </r>
  <r>
    <x v="0"/>
    <x v="3"/>
    <x v="13"/>
    <x v="9"/>
    <x v="0"/>
    <m/>
    <m/>
    <m/>
  </r>
  <r>
    <x v="0"/>
    <x v="4"/>
    <x v="14"/>
    <x v="10"/>
    <x v="0"/>
    <m/>
    <m/>
    <m/>
  </r>
  <r>
    <x v="0"/>
    <x v="4"/>
    <x v="15"/>
    <x v="11"/>
    <x v="0"/>
    <m/>
    <m/>
    <m/>
  </r>
  <r>
    <x v="1"/>
    <x v="2"/>
    <x v="16"/>
    <x v="5"/>
    <x v="0"/>
    <m/>
    <m/>
    <m/>
  </r>
  <r>
    <x v="1"/>
    <x v="2"/>
    <x v="17"/>
    <x v="5"/>
    <x v="0"/>
    <m/>
    <m/>
    <m/>
  </r>
  <r>
    <x v="1"/>
    <x v="2"/>
    <x v="18"/>
    <x v="5"/>
    <x v="0"/>
    <m/>
    <m/>
    <m/>
  </r>
  <r>
    <x v="1"/>
    <x v="2"/>
    <x v="19"/>
    <x v="5"/>
    <x v="0"/>
    <m/>
    <m/>
    <m/>
  </r>
  <r>
    <x v="0"/>
    <x v="4"/>
    <x v="20"/>
    <x v="12"/>
    <x v="0"/>
    <m/>
    <m/>
    <m/>
  </r>
  <r>
    <x v="0"/>
    <x v="4"/>
    <x v="21"/>
    <x v="13"/>
    <x v="0"/>
    <m/>
    <m/>
    <m/>
  </r>
  <r>
    <x v="0"/>
    <x v="5"/>
    <x v="22"/>
    <x v="14"/>
    <x v="0"/>
    <m/>
    <m/>
    <m/>
  </r>
  <r>
    <x v="0"/>
    <x v="5"/>
    <x v="23"/>
    <x v="15"/>
    <x v="0"/>
    <m/>
    <m/>
    <m/>
  </r>
  <r>
    <x v="0"/>
    <x v="5"/>
    <x v="24"/>
    <x v="16"/>
    <x v="0"/>
    <m/>
    <m/>
    <m/>
  </r>
  <r>
    <x v="0"/>
    <x v="5"/>
    <x v="25"/>
    <x v="17"/>
    <x v="0"/>
    <m/>
    <m/>
    <m/>
  </r>
  <r>
    <x v="0"/>
    <x v="6"/>
    <x v="26"/>
    <x v="5"/>
    <x v="0"/>
    <m/>
    <m/>
    <m/>
  </r>
  <r>
    <x v="1"/>
    <x v="2"/>
    <x v="27"/>
    <x v="5"/>
    <x v="0"/>
    <m/>
    <m/>
    <m/>
  </r>
  <r>
    <x v="1"/>
    <x v="2"/>
    <x v="28"/>
    <x v="5"/>
    <x v="0"/>
    <m/>
    <m/>
    <m/>
  </r>
  <r>
    <x v="0"/>
    <x v="6"/>
    <x v="29"/>
    <x v="5"/>
    <x v="0"/>
    <m/>
    <m/>
    <m/>
  </r>
  <r>
    <x v="1"/>
    <x v="2"/>
    <x v="27"/>
    <x v="5"/>
    <x v="0"/>
    <m/>
    <m/>
    <m/>
  </r>
  <r>
    <x v="1"/>
    <x v="2"/>
    <x v="28"/>
    <x v="5"/>
    <x v="0"/>
    <m/>
    <m/>
    <m/>
  </r>
  <r>
    <x v="0"/>
    <x v="6"/>
    <x v="30"/>
    <x v="5"/>
    <x v="0"/>
    <m/>
    <m/>
    <m/>
  </r>
  <r>
    <x v="1"/>
    <x v="2"/>
    <x v="27"/>
    <x v="5"/>
    <x v="0"/>
    <m/>
    <m/>
    <m/>
  </r>
  <r>
    <x v="1"/>
    <x v="2"/>
    <x v="28"/>
    <x v="5"/>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C5AB0D-738B-CD48-8C0A-34C762B126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8">
    <pivotField showAll="0">
      <items count="3">
        <item x="0"/>
        <item x="1"/>
        <item t="default"/>
      </items>
    </pivotField>
    <pivotField showAll="0">
      <items count="8">
        <item x="4"/>
        <item x="0"/>
        <item x="3"/>
        <item x="6"/>
        <item x="1"/>
        <item x="5"/>
        <item x="2"/>
        <item t="default"/>
      </items>
    </pivotField>
    <pivotField showAll="0">
      <items count="32">
        <item x="12"/>
        <item x="13"/>
        <item x="14"/>
        <item x="10"/>
        <item x="1"/>
        <item x="20"/>
        <item x="22"/>
        <item x="9"/>
        <item x="24"/>
        <item x="15"/>
        <item x="21"/>
        <item x="18"/>
        <item x="8"/>
        <item x="19"/>
        <item x="25"/>
        <item x="23"/>
        <item x="30"/>
        <item x="26"/>
        <item x="29"/>
        <item x="16"/>
        <item x="11"/>
        <item x="5"/>
        <item x="4"/>
        <item x="6"/>
        <item x="7"/>
        <item x="0"/>
        <item x="17"/>
        <item x="2"/>
        <item x="3"/>
        <item x="28"/>
        <item x="27"/>
        <item t="default"/>
      </items>
    </pivotField>
    <pivotField showAll="0">
      <items count="19">
        <item x="4"/>
        <item x="12"/>
        <item x="13"/>
        <item x="7"/>
        <item x="8"/>
        <item x="17"/>
        <item x="2"/>
        <item x="3"/>
        <item x="1"/>
        <item x="6"/>
        <item x="9"/>
        <item x="15"/>
        <item x="14"/>
        <item x="16"/>
        <item x="0"/>
        <item x="10"/>
        <item x="11"/>
        <item x="5"/>
        <item t="default"/>
      </items>
    </pivotField>
    <pivotField showAll="0">
      <items count="2">
        <item x="0"/>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E75146-6C12-654F-918D-2A5113948D27}" name="Table1" displayName="Table1" ref="A3:H4" totalsRowShown="0">
  <autoFilter ref="A3:H4" xr:uid="{A3E75146-6C12-654F-918D-2A5113948D27}"/>
  <tableColumns count="8">
    <tableColumn id="1" xr3:uid="{1B6C0334-9B41-F841-910C-4FD96E0A2749}" name="Team"/>
    <tableColumn id="2" xr3:uid="{00AEFD71-80F5-BA4C-869B-703FB2AA1DB0}" name="Metric Group"/>
    <tableColumn id="3" xr3:uid="{D010648B-E80A-3448-A324-6AEFAAE74095}" name="Metric"/>
    <tableColumn id="4" xr3:uid="{C75B438B-EA4F-9948-9603-1EBF07501265}" name="Target"/>
    <tableColumn id="5" xr3:uid="{8EE973C7-BE29-E947-9C7C-433DD117297B}" name="Jul-25"/>
    <tableColumn id="6" xr3:uid="{09FA1F3B-C050-F045-8119-79324A842069}" name="Jul-252"/>
    <tableColumn id="7" xr3:uid="{607A30B3-0798-A143-810F-782C75717365}" name="Aug-25"/>
    <tableColumn id="8" xr3:uid="{498AAEC8-5DE2-A641-9C13-37F0466B12E6}" name="Aug-25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2" dT="2025-12-03T14:15:45.58" personId="{6C38AC3A-7BEE-4372-B62F-C4672F29B693}" id="{B61C7AFA-B746-4159-BBF9-AC92D96FD902}">
    <text>@Austin Hunter @Bob Baird what drove the decrease in sprint predicatbility?</text>
    <mentions>
      <mention mentionpersonId="{96EC21E8-D7CC-454F-B5E0-5E0D254231DB}" mentionId="{D0649242-D742-4410-96BC-C193D8A67416}" startIndex="0" length="14"/>
      <mention mentionpersonId="{02298318-B8BA-A340-9A4A-DDFBFCCE78CF}" mentionId="{D3E6549D-5AA7-45E7-BCBA-1704B244ACBD}" startIndex="15" length="10"/>
    </mentions>
  </threadedComment>
  <threadedComment ref="K2" dT="2025-12-03T23:12:48.11" personId="{4D4FF0A7-41A2-4335-8BB3-64419C4831E7}" id="{D6D6465C-40D0-4DE8-899F-72376A790B43}" parentId="{B61C7AFA-B746-4159-BBF9-AC92D96FD902}">
    <text>@Dan Schiff We had a handful of issues added to the sprints which increased the scope and ultimately decreased our predictability. Focusing this on only added necessary items this sprint</text>
    <mentions>
      <mention mentionpersonId="{5F129548-57E1-4699-BED7-0F8089B6760C}" mentionId="{E9534BA3-B5DD-4E8C-B4B8-C2A9CDC7BF96}" startIndex="0" length="11"/>
    </mentions>
  </threadedComment>
  <threadedComment ref="K2" dT="2025-12-09T18:55:57.73" personId="{11AEECDB-E7A0-40BA-9F95-31F1DD8DAE83}" id="{714A05C9-AA1B-414E-8FB4-77809CAC0D8F}" parentId="{B61C7AFA-B746-4159-BBF9-AC92D96FD902}">
    <text xml:space="preserve">as well as the Nov onsite which we didn't do a 1-week sprint for, so only had half a sprint on that one.   </text>
  </threadedComment>
  <threadedComment ref="O2" dT="2026-04-02T10:44:19.49" personId="{D50A5029-F878-40F9-A126-E9724BE08C40}" id="{D5D68B15-1865-4976-B2C9-7942B566237E}" done="1">
    <text>@Austin Hunter @Stephen Hubbard halfway through your action plan here and not seeing an increase in predictability. Any insight into what’s going well or not here?</text>
    <mentions>
      <mention mentionpersonId="{96EC21E8-D7CC-454F-B5E0-5E0D254231DB}" mentionId="{671E031B-2716-4333-80CF-EB3F83D3B1A8}" startIndex="0" length="14"/>
      <mention mentionpersonId="{6F434760-1174-45E3-A6E6-3BE80FE166BE}" mentionId="{D9CDFC23-1A37-4D14-A2C3-CE725067E812}" startIndex="15" length="16"/>
    </mentions>
  </threadedComment>
  <threadedComment ref="O2" dT="2026-04-02T14:38:06.88" personId="{4D4FF0A7-41A2-4335-8BB3-64419C4831E7}" id="{21824B39-0AB7-48F4-8B83-0A1397EB4D60}" parentId="{D5D68B15-1865-4976-B2C9-7942B566237E}">
    <text>We were sprint planning during grooming which was not showing signs of great benefit. This week I've decided to break that meeting out into a separate time block to drive more thoughtful selection. April might have been an aggressive date to hit, but I'm hopeful that this new meeting will have a positive impact</text>
  </threadedComment>
  <threadedComment ref="D10" dT="2025-09-02T15:32:35.70" personId="{11AEECDB-E7A0-40BA-9F95-31F1DD8DAE83}" id="{293A1DC0-83E8-4DAC-AC04-310BCAA41795}">
    <text>https://paylocity.atlassian.net/issues/?jql=parent%3DREC-1976%20ORDER%20BY%20created%20ASC%2C%20rank</text>
  </threadedComment>
  <threadedComment ref="K10" dT="2025-12-03T14:16:41.12" personId="{6C38AC3A-7BEE-4372-B62F-C4672F29B693}" id="{63124B56-1C46-4782-B025-184C3604DF21}" done="1">
    <text>@Austin Hunter @Bob Baird what caused the increase in PDRs? Was it tied to a release?</text>
    <mentions>
      <mention mentionpersonId="{96EC21E8-D7CC-454F-B5E0-5E0D254231DB}" mentionId="{405E827F-B3F1-4245-AE7D-045C143E59D7}" startIndex="0" length="14"/>
      <mention mentionpersonId="{02298318-B8BA-A340-9A4A-DDFBFCCE78CF}" mentionId="{8AA06C4C-6A08-4D27-BD05-1084F7CE521D}" startIndex="15" length="10"/>
    </mentions>
  </threadedComment>
  <threadedComment ref="K10" dT="2025-12-03T23:29:14.73" personId="{4D4FF0A7-41A2-4335-8BB3-64419C4831E7}" id="{B405C600-9C16-4CB4-91AB-2AB5A792A78B}" parentId="{63124B56-1C46-4782-B025-184C3604DF21}">
    <text>We haven't identified a release correlation yet. These appear to be isolated issues reported at different times. Looking more into this now</text>
  </threadedComment>
  <threadedComment ref="K10" dT="2025-12-03T23:43:08.29" personId="{4D4FF0A7-41A2-4335-8BB3-64419C4831E7}" id="{41178902-1B3D-4D03-84D9-DC50616BC5C5}" parentId="{63124B56-1C46-4782-B025-184C3604DF21}">
    <text xml:space="preserve">It's not obvious as to how long these problems have been around, they might have been problems that haven't been reported before. Citrus changes have been the biggest contributor of bugs for us recently which 2 of these PDRs could be related. </text>
  </threadedComment>
  <threadedComment ref="O10" dT="2026-04-02T10:45:32.37" personId="{D50A5029-F878-40F9-A126-E9724BE08C40}" id="{B78890CE-3469-4264-A708-4F67DA739F8E}" done="1">
    <text>@Austin Hunter @Stephen Hubbard this is  a “large” number for R&amp;R. Any theme or pattern? Are these related to recent releases?</text>
    <mentions>
      <mention mentionpersonId="{96EC21E8-D7CC-454F-B5E0-5E0D254231DB}" mentionId="{3F54A8A9-8BF9-4469-94DA-0C626FC79CA4}" startIndex="0" length="14"/>
      <mention mentionpersonId="{6F434760-1174-45E3-A6E6-3BE80FE166BE}" mentionId="{EDA442A7-3382-444D-BFFF-400B2031B499}" startIndex="15" length="16"/>
    </mentions>
  </threadedComment>
  <threadedComment ref="O10" dT="2026-04-02T14:35:01.84" personId="{4D4FF0A7-41A2-4335-8BB3-64419C4831E7}" id="{1C8CB742-B72A-4169-908E-7C4042167360}" parentId="{B78890CE-3469-4264-A708-4F67DA739F8E}">
    <text xml:space="preserve">These are random bugs that are unrelated to any particular release. Strange edge cases and one unrelated to our product. My PO is working on staying on top of salesforce pdrs so I expect this month to have a couple as well. </text>
  </threadedComment>
  <threadedComment ref="J16" dT="2025-11-04T20:56:56.25" personId="{BB6CAC19-7927-284F-A182-1DF26B88A34D}" id="{27E5D0EC-C062-FE4C-85A5-A8489ABC7756}">
    <text xml:space="preserve">@Bob Baird any insight into the drop off from last sprint? </text>
    <mentions>
      <mention mentionpersonId="{02298318-B8BA-A340-9A4A-DDFBFCCE78CF}" mentionId="{850AEC9D-6B55-484F-B465-62137A06C645}" startIndex="0" length="10"/>
    </mentions>
  </threadedComment>
  <threadedComment ref="J16" dT="2025-11-04T21:55:46.10" personId="{11AEECDB-E7A0-40BA-9F95-31F1DD8DAE83}" id="{3AFF0E3E-E023-43C1-B465-7A3CF02CDB37}" parentId="{27E5D0EC-C062-FE4C-85A5-A8489ABC7756}">
    <text xml:space="preserve">Q1 ended in Sep at 100% completed commitments for the quarter.  Q2 started/reset in October and we've completed 20% of the Q2 commitments already in Oct.  </text>
  </threadedComment>
  <threadedComment ref="J23" dT="2025-11-02T16:00:26.55" personId="{11AEECDB-E7A0-40BA-9F95-31F1DD8DAE83}" id="{0278C716-0407-4A22-9DF1-A31D4D1AD35A}">
    <text xml:space="preserve">"Unfortunately, your team submitted fewer than 3 responses for this survey, so detailed results are not available." - Next quarterly DevEx survey will be done in a retro as a team
</text>
  </threadedComment>
  <threadedComment ref="O34" dT="2026-04-02T10:46:54.84" personId="{D50A5029-F878-40F9-A126-E9724BE08C40}" id="{5F1CF122-D84A-49AD-8CF9-31F433EB0F64}" done="1">
    <text>@Austin Hunter @Stephen Hubbard not sure if this tells us much of anything but given the big jump, just curious if there’s anything you know of that’s driving it?</text>
    <mentions>
      <mention mentionpersonId="{96EC21E8-D7CC-454F-B5E0-5E0D254231DB}" mentionId="{DF2F8FC9-7922-4377-8A19-5A5A0786CE32}" startIndex="0" length="14"/>
      <mention mentionpersonId="{6F434760-1174-45E3-A6E6-3BE80FE166BE}" mentionId="{AF8FBF1F-58D6-4D0A-A6C8-70960D00D9E2}" startIndex="15" length="16"/>
    </mentions>
  </threadedComment>
  <threadedComment ref="O34" dT="2026-04-02T14:28:49.01" personId="{4D4FF0A7-41A2-4335-8BB3-64419C4831E7}" id="{3C292315-4490-4F7D-9EED-92EE58C6B87A}" parentId="{5F1CF122-D84A-49AD-8CF9-31F433EB0F64}">
    <text>Comments have been elevated on our new SE's PR's so this is what I would attribute that to. He's getting a lot of good feedback</text>
  </threadedComment>
  <threadedComment ref="K41" dT="2025-12-03T14:17:59.81" personId="{6C38AC3A-7BEE-4372-B62F-C4672F29B693}" id="{AE802718-D209-4018-A06C-D330D9CFF5A7}" done="1">
    <text>@Trevor Romey @Bob Baird what caused the increase in unplanned work in Nov?</text>
    <mentions>
      <mention mentionpersonId="{4F4A2D06-21ED-4DD7-AF81-93B1EE1DA5B4}" mentionId="{98407308-8317-443B-8E02-74FF22016D83}" startIndex="0" length="13"/>
      <mention mentionpersonId="{02298318-B8BA-A340-9A4A-DDFBFCCE78CF}" mentionId="{B8425BEE-DFD6-4F71-A892-A4C52A9B2F7E}" startIndex="14" length="10"/>
    </mentions>
  </threadedComment>
  <threadedComment ref="K41" dT="2025-12-03T15:46:36.32" personId="{7F33B518-65D7-4107-9A2A-76513B6F860A}" id="{73DF2F70-7F03-4B4A-A467-0EE6795D1291}" parentId="{AE802718-D209-4018-A06C-D330D9CFF5A7}">
    <text xml:space="preserve">An increase in DBA Top 10 tickets, team city deprecated agent work, and maintenance items this month. We also had the 1 week sprint during Thanksgiving where we only worked on tech debt and maintenance items. </text>
  </threadedComment>
  <threadedComment ref="O41" dT="2026-04-02T10:47:44.59" personId="{D50A5029-F878-40F9-A126-E9724BE08C40}" id="{9C89181D-C23C-443D-9D39-B0E8432148B4}" done="1">
    <text>@Trevor Romey @Jenny Weaver  insight into this increase?</text>
    <mentions>
      <mention mentionpersonId="{4F4A2D06-21ED-4DD7-AF81-93B1EE1DA5B4}" mentionId="{F7036B79-3DDC-4C34-8154-D737A6AF42D5}" startIndex="0" length="13"/>
      <mention mentionpersonId="{CD872072-9FA1-42CF-9FD2-165063B0B13F}" mentionId="{004ED46E-92DC-42CA-A02B-06306DC8F9C8}" startIndex="14" length="13"/>
    </mentions>
  </threadedComment>
  <threadedComment ref="O41" dT="2026-04-02T15:24:58.13" personId="{7F33B518-65D7-4107-9A2A-76513B6F860A}" id="{1E482650-052D-4EBE-B0B0-AB0AED1D4FB5}" parentId="{9C89181D-C23C-443D-9D39-B0E8432148B4}">
    <text>We had more tech debt stories we worked on this month, DBA Top 10s in particular and also closed a few AppSec stories. The epics for that work is labeled as unplanned</text>
  </threadedComment>
  <threadedComment ref="O48" dT="2026-04-02T10:48:54.10" personId="{D50A5029-F878-40F9-A126-E9724BE08C40}" id="{13698C37-6222-4173-9103-C7977F3D9517}" done="1">
    <text>@Trevor Romey  @Jenny Weaver  Nice ratio of create:resolved! Was this due to last month’s action plan?</text>
    <mentions>
      <mention mentionpersonId="{4F4A2D06-21ED-4DD7-AF81-93B1EE1DA5B4}" mentionId="{F4B13D05-6DA0-4455-B2D2-DCD36BA49B24}" startIndex="0" length="13"/>
      <mention mentionpersonId="{CD872072-9FA1-42CF-9FD2-165063B0B13F}" mentionId="{348CF262-31DD-41A5-8517-919BC48F747D}" startIndex="15" length="13"/>
    </mentions>
  </threadedComment>
  <threadedComment ref="O48" dT="2026-04-02T15:29:19.05" personId="{7F33B518-65D7-4107-9A2A-76513B6F860A}" id="{22B0F917-E321-4798-A673-F75DB45D1553}" parentId="{13698C37-6222-4173-9103-C7977F3D9517}">
    <text xml:space="preserve">Yup along with the PDR team closing out a significant amount of PDRs this month. </text>
  </threadedComment>
  <threadedComment ref="K53" dT="2025-12-03T14:19:09.66" personId="{6C38AC3A-7BEE-4372-B62F-C4672F29B693}" id="{AA6BB827-E35E-49BE-A6B6-CFEF3F42CEE9}" done="1">
    <text>@Trevor Romey @Bob Baird  this seems to fluctuate. Is there any underlying theme here?</text>
    <mentions>
      <mention mentionpersonId="{4F4A2D06-21ED-4DD7-AF81-93B1EE1DA5B4}" mentionId="{D1B5F1B5-7B93-4C12-94BC-06C9FBA3AC1C}" startIndex="0" length="13"/>
      <mention mentionpersonId="{02298318-B8BA-A340-9A4A-DDFBFCCE78CF}" mentionId="{975C9014-9A65-43BA-BAEC-D81AC93DC0F1}" startIndex="14" length="10"/>
    </mentions>
  </threadedComment>
  <threadedComment ref="K53" dT="2025-12-03T15:42:16.73" personId="{7F33B518-65D7-4107-9A2A-76513B6F860A}" id="{503F600F-C6C0-4458-843D-CB687C9E41D0}" parentId="{AA6BB827-E35E-49BE-A6B6-CFEF3F42CEE9}">
    <text>Jira hygiene was one issue, we had two epics that had all the work done but the status was not updated to done. That and me gathering the metric correctly now (Before I was caoturing complete and in flight due to misunderstanding how to capture this metric )</text>
  </threadedComment>
  <threadedComment ref="K53" dT="2025-12-09T19:01:10.77" personId="{11AEECDB-E7A0-40BA-9F95-31F1DD8DAE83}" id="{BE8625F9-0249-4B5D-A557-FCE4C8691707}" parentId="{AA6BB827-E35E-49BE-A6B6-CFEF3F42CEE9}">
    <text xml:space="preserve">Commitment % is a quarterly metric, so every 3 months it'll go from 0 to 100 (or thereabouts theoretically) to reflect the progress in our quarterly say/do.  Every 3 months it should reset back to zero in theory.  last quarter ended with 85.7 (weird number) of the quarterly goals completed, then we start the next quarter out at zero for the next set of quarterly goals - in this case 40% of that next quarter goals were completed in the first month, another 20 next month (nov), should be 100 in Dec (in theory), than back to zero in Jan. </text>
  </threadedComment>
  <threadedComment ref="M53" dT="2026-02-02T15:56:44.54" personId="{7F33B518-65D7-4107-9A2A-76513B6F860A}" id="{1931F5A7-DFFC-4FDF-ADA0-15DFDD6649B3}">
    <text xml:space="preserve">We are 100% in progress but for the 2 committed epics the goal is close as many bugs and PDRs as possible. We likely won't see this commitment percentage change until the end of the quarter. </text>
  </threadedComment>
  <threadedComment ref="O73" dT="2026-04-02T11:18:26.04" personId="{D50A5029-F878-40F9-A126-E9724BE08C40}" id="{2D82A5C6-CA35-49E0-8770-09DC767265A2}">
    <text>@Trevor Romey @Jenny Weaver Action items should target one of the metric areas and have a quantitative target. i.e. what outcome do you expect from improved story readiness and reduced dependencies? Better sprint predictatility, lower cycle times?</text>
    <mentions>
      <mention mentionpersonId="{4F4A2D06-21ED-4DD7-AF81-93B1EE1DA5B4}" mentionId="{9B4A998D-DA0E-4049-A104-72D81DCA35B0}" startIndex="0" length="13"/>
      <mention mentionpersonId="{CD872072-9FA1-42CF-9FD2-165063B0B13F}" mentionId="{3D45B8D9-C769-4DFE-A020-92FD0B5C059E}" startIndex="14" length="13"/>
    </mentions>
  </threadedComment>
  <threadedComment ref="O73" dT="2026-04-02T15:25:46.68" personId="{7F33B518-65D7-4107-9A2A-76513B6F860A}" id="{C4EBC770-9689-4EEB-A6B1-FB3F8C1245B1}" parentId="{2D82A5C6-CA35-49E0-8770-09DC767265A2}">
    <text xml:space="preserve">I can rewrite this, we should in theory see lower cycle times. </text>
  </threadedComment>
  <threadedComment ref="O73" dT="2026-04-02T17:10:53.74" personId="{D50A5029-F878-40F9-A126-E9724BE08C40}" id="{27AFF2C9-DDB4-4099-896D-FF448BA4B90D}" parentId="{2D82A5C6-CA35-49E0-8770-09DC767265A2}">
    <text>@Trevor Romey can you add a cycle time target?</text>
    <mentions>
      <mention mentionpersonId="{4F4A2D06-21ED-4DD7-AF81-93B1EE1DA5B4}" mentionId="{0AECF2E9-39FC-4A91-9120-C765FA991DB8}" startIndex="0" length="13"/>
    </mentions>
  </threadedComment>
  <threadedComment ref="J76" dT="2025-11-04T20:58:56.91" personId="{BB6CAC19-7927-284F-A182-1DF26B88A34D}" id="{5F0B5A7D-5C2C-B846-9536-AA5C3E2D236C}">
    <text xml:space="preserve">@Jose Basilio @Bob Baird Wondering why the Sprint Predictability has been dropping over the last 3 sprints. </text>
    <mentions>
      <mention mentionpersonId="{DBE0EB51-5AF4-A04E-B010-32FB47087FCD}" mentionId="{851DEE55-A2A9-EE47-9931-BE7CEAA9A888}" startIndex="0" length="13"/>
      <mention mentionpersonId="{02298318-B8BA-A340-9A4A-DDFBFCCE78CF}" mentionId="{C42B7E3E-2E26-E44B-8892-93EA35DD47CF}" startIndex="14" length="10"/>
    </mentions>
  </threadedComment>
  <threadedComment ref="O76" dT="2026-04-01T20:56:18.38" personId="{2925F371-FC45-488A-8705-C3FFA4C5F504}" id="{B9863965-9074-4CB8-BEBD-DB9242D9EB96}" done="1">
    <text>Predictability went down as we were attacking bug tickets dynamically to meet our Q3 goal.</text>
  </threadedComment>
  <threadedComment ref="O76" dT="2026-04-02T10:51:15.80" personId="{D50A5029-F878-40F9-A126-E9724BE08C40}" id="{9D27CA7C-3E4C-478D-8661-2FF686EB6384}" parentId="{B9863965-9074-4CB8-BEBD-DB9242D9EB96}">
    <text>Thanks @Jose Basilio approximately where would you expect this to land next month?</text>
    <mentions>
      <mention mentionpersonId="{DBE0EB51-5AF4-A04E-B010-32FB47087FCD}" mentionId="{AE36B31A-B928-45B5-895F-8A691806806C}" startIndex="7" length="13"/>
    </mentions>
  </threadedComment>
  <threadedComment ref="O76" dT="2026-04-02T10:51:29.92" personId="{D50A5029-F878-40F9-A126-E9724BE08C40}" id="{9F9C8FF3-FC40-4C47-84E1-FC663048255A}" parentId="{B9863965-9074-4CB8-BEBD-DB9242D9EB96}">
    <text xml:space="preserve">And congrats on hitting your Q3 commitment!
</text>
  </threadedComment>
  <threadedComment ref="O76" dT="2026-04-02T14:27:17.78" personId="{2925F371-FC45-488A-8705-C3FFA4C5F504}" id="{20D2C818-2EB6-46C9-AE50-8AD316D2A3B6}" parentId="{B9863965-9074-4CB8-BEBD-DB9242D9EB96}">
    <text>I expect that in April, we’ll go back over 80%.</text>
  </threadedComment>
  <threadedComment ref="I77" dT="2025-10-03T20:22:48.07" personId="{2925F371-FC45-488A-8705-C3FFA4C5F504}" id="{5FA2D061-A03B-4497-AA83-84ECF349B758}">
    <text>We have some spike tickets that were not moved to done, and rolled over sprints. This skewed the numbers.</text>
  </threadedComment>
  <threadedComment ref="I77" dT="2025-11-04T20:59:19.47" personId="{BB6CAC19-7927-284F-A182-1DF26B88A34D}" id="{6873FE30-C91E-1E41-ABF2-C1CCEFBC7270}" parentId="{5FA2D061-A03B-4497-AA83-84ECF349B758}">
    <text xml:space="preserve">Can we ensure this doesn't happen again? </text>
  </threadedComment>
  <threadedComment ref="O82" dT="2026-04-02T10:55:49.67" personId="{D50A5029-F878-40F9-A126-E9724BE08C40}" id="{768C008D-E8FE-466E-A170-B11D5632336D}" done="1">
    <text>@Jose Basilio @Jenny Weaver I know of the two Sev3 incidents over the last couple months, what’s the third one? Was that just one that impacted Recruiting?</text>
    <mentions>
      <mention mentionpersonId="{DBE0EB51-5AF4-A04E-B010-32FB47087FCD}" mentionId="{BB0D6F15-78D7-4932-97A8-470B2BC6E9FC}" startIndex="0" length="13"/>
      <mention mentionpersonId="{CD872072-9FA1-42CF-9FD2-165063B0B13F}" mentionId="{1BB69C77-D32A-4E1E-8F9B-E0455514CE86}" startIndex="14" length="13"/>
    </mentions>
  </threadedComment>
  <threadedComment ref="O82" dT="2026-04-02T14:29:17.45" personId="{2925F371-FC45-488A-8705-C3FFA4C5F504}" id="{D4FA69BE-98C1-4C13-98D3-FA1CF38C17DF}" parentId="{768C008D-E8FE-466E-A170-B11D5632336D}">
    <text>I entered this wrong. There were only 2. One was in February, and the other in March.</text>
  </threadedComment>
  <threadedComment ref="O104" dT="2026-04-02T10:53:04.46" personId="{D50A5029-F878-40F9-A126-E9724BE08C40}" id="{62BF2DF1-3ED4-41BE-AD61-A99AD2CBE1B0}" done="1">
    <text>@Jose Basilio @Jenny Weaver big jump here and in PRs merged in the last couple months. Is there something you all did to increase this velocity?</text>
    <mentions>
      <mention mentionpersonId="{DBE0EB51-5AF4-A04E-B010-32FB47087FCD}" mentionId="{5ED86931-2F72-4FD3-AE25-2DD48D36D3B7}" startIndex="0" length="13"/>
      <mention mentionpersonId="{CD872072-9FA1-42CF-9FD2-165063B0B13F}" mentionId="{733E6FDB-B1EB-465C-A29E-515DEB6A8DD2}" startIndex="14" length="13"/>
    </mentions>
  </threadedComment>
  <threadedComment ref="O104" dT="2026-04-02T14:30:31.37" personId="{2925F371-FC45-488A-8705-C3FFA4C5F504}" id="{4F07D9B7-8C11-4646-B558-D7116EB9A481}" parentId="{62BF2DF1-3ED4-41BE-AD61-A99AD2CBE1B0}">
    <text>We had smaller bug tickets created as issues were found during the testing of the Candidate Profile epic.</text>
  </threadedComment>
  <threadedComment ref="I109" dT="2025-10-02T19:41:08.48" personId="{0563F14E-ABB4-4234-9A4B-5903F181C84B}" id="{F804C860-8AA6-4E7F-921A-4728656EAFDB}">
    <text>Started work on some new Epics that carried over to next sprint.  Impacted this metric.</text>
  </threadedComment>
  <threadedComment ref="J109" dT="2025-11-04T21:01:38.68" personId="{BB6CAC19-7927-284F-A182-1DF26B88A34D}" id="{86EB280F-6A8D-5B4E-94FE-E06C99FE5900}">
    <text>@Cory Miller @Bob Baird Interested in what is driving the sprint predictability to 53%</text>
    <mentions>
      <mention mentionpersonId="{1C604ABE-C139-4F0A-AE88-8D4A182AF6FE}" mentionId="{EF034EB6-29D3-D548-8E1E-6897CDE8F495}" startIndex="0" length="12"/>
      <mention mentionpersonId="{02298318-B8BA-A340-9A4A-DDFBFCCE78CF}" mentionId="{4A39A0D4-A3F5-CC44-9108-45FE4B90926F}" startIndex="13" length="10"/>
    </mentions>
  </threadedComment>
  <threadedComment ref="J109" dT="2025-11-04T21:14:19.52" personId="{0563F14E-ABB4-4234-9A4B-5903F181C84B}" id="{B3739B6E-9F9E-478F-A9B7-50FC4F7AAE8B}" parentId="{86EB280F-6A8D-5B4E-94FE-E06C99FE5900}">
    <text>My guess is it grabbed all the sprints in Oct and avg'd them - but I did go do math and it came out to 68% ((20.4+100+84.4) /3) so I'm not 100% sure.  But I do believe it is an aggregate score for the month, where indv sprints give the exact number for that particular sprint.</text>
  </threadedComment>
  <threadedComment ref="J109" dT="2025-11-04T21:23:16.86" personId="{0563F14E-ABB4-4234-9A4B-5903F181C84B}" id="{670B1D20-5F02-4917-98AB-71C4F337533D}" parentId="{86EB280F-6A8D-5B4E-94FE-E06C99FE5900}">
    <text>@Scott Jucovics I found the definition in Jellyfish: 'percentage of story points that were committed to a sprint and completed during the sprint for all completed sprints in Oct 2025'.  What's weird is it didn't include the latest sprint we just wrapped up last Friday.  That sprint would increase this number.</text>
    <mentions>
      <mention mentionpersonId="{E97B24DE-67F2-450D-B522-7AB8D0E20F23}" mentionId="{6C028FE7-C1BD-4816-9FDC-D93AF0E28A96}" startIndex="0" length="15"/>
    </mentions>
  </threadedComment>
  <threadedComment ref="K109" dT="2025-12-03T14:20:24.56" personId="{6C38AC3A-7BEE-4372-B62F-C4672F29B693}" id="{94CC17B5-C33A-4A9B-B358-81C14116B5EE}" done="1">
    <text>@Cory Miller @Bob Baird This is a nice uptick! Was there anything the team did to drive this change?</text>
    <mentions>
      <mention mentionpersonId="{1C604ABE-C139-4F0A-AE88-8D4A182AF6FE}" mentionId="{DC18BD77-8957-4BA7-AF13-E0533A61C9B4}" startIndex="0" length="12"/>
      <mention mentionpersonId="{02298318-B8BA-A340-9A4A-DDFBFCCE78CF}" mentionId="{1E5C6F09-2960-44AD-8A10-C8EC44E4B74C}" startIndex="13" length="10"/>
    </mentions>
  </threadedComment>
  <threadedComment ref="O110" dT="2026-04-02T10:54:26.20" personId="{D50A5029-F878-40F9-A126-E9724BE08C40}" id="{C00FEC15-A220-4C8D-AFD8-467725CA4437}" done="1">
    <text>@Cory Miller @Jenny Weaver anything you all did to drive this down, or more likely an anomaly?</text>
    <mentions>
      <mention mentionpersonId="{1C604ABE-C139-4F0A-AE88-8D4A182AF6FE}" mentionId="{274AA49B-0045-473E-A996-59D023970AF5}" startIndex="0" length="12"/>
      <mention mentionpersonId="{CD872072-9FA1-42CF-9FD2-165063B0B13F}" mentionId="{C0E1F9D2-ED0D-460D-804E-031B6C1EB51E}" startIndex="13" length="13"/>
    </mentions>
  </threadedComment>
  <threadedComment ref="O110" dT="2026-04-02T13:01:38.99" personId="{0563F14E-ABB4-4234-9A4B-5903F181C84B}" id="{8990EDD6-B137-4F68-BEF2-17F6AA8D4E41}" parentId="{C00FEC15-A220-4C8D-AFD8-467725CA4437}">
    <text>For Innovation side, this is likely a result of how the work was broken down.  Ben and team spent a lot of hours breaking things into bite-sized tasks, which allows them to go from start-&gt;done quicker.</text>
  </threadedComment>
  <threadedComment ref="O110" dT="2026-04-02T14:05:43.89" personId="{D50A5029-F878-40F9-A126-E9724BE08C40}" id="{F1C027FC-EA61-49A8-AFA1-5C556E04A669}" parentId="{C00FEC15-A220-4C8D-AFD8-467725CA4437}">
    <text>Thanks. Would be good to keep an eye on this and if the trend continues, share out some lessons learned with your colleagues</text>
  </threadedComment>
  <threadedComment ref="O179" dT="2026-04-02T11:01:56.12" personId="{D50A5029-F878-40F9-A126-E9724BE08C40}" id="{2EDC5A13-7939-43DA-9F67-FA9DA59D39BD}">
    <text>@Bryan Prendergast @Stephen Hubbard did Feb’s action plan result in this increase? No action plan for predictability this month?</text>
    <mentions>
      <mention mentionpersonId="{D15B5079-1A76-49D5-998B-8DA4D51BB5CB}" mentionId="{F0038A70-8A4C-4D20-80FA-5ED59AE11C4D}" startIndex="0" length="18"/>
      <mention mentionpersonId="{6F434760-1174-45E3-A6E6-3BE80FE166BE}" mentionId="{1DCA8916-F9C3-4E40-B75F-039766170DA4}" startIndex="19" length="16"/>
    </mentions>
  </threadedComment>
  <threadedComment ref="O179" dT="2026-04-02T14:17:04.45" personId="{C8B47AF4-18AE-4045-A3F2-E2D0DECAEDA5}" id="{BF2B050E-23D0-4F3B-B645-4E7B5B9FAB67}" parentId="{2EDC5A13-7939-43DA-9F67-FA9DA59D39BD}">
    <text>Yes. We have made progress on Sprint predictability. Yet I don't want to push the team further in terms of restricting the number tickets they want to take in to even fewer. Gettig to the point of just gaming the system. The team has a tendency towards stretch goals in general with pulling in tickets and I don't see this as a bad thing.</text>
  </threadedComment>
  <threadedComment ref="O179" dT="2026-04-02T17:13:13.21" personId="{D50A5029-F878-40F9-A126-E9724BE08C40}" id="{30251E69-3FA5-417D-9BBF-91A34F916824}" parentId="{2EDC5A13-7939-43DA-9F67-FA9DA59D39BD}">
    <text>@Bryan Prendergast  Thanks, obviously it’s a balance, but I would shoot for that 80% range as a target</text>
    <mentions>
      <mention mentionpersonId="{D15B5079-1A76-49D5-998B-8DA4D51BB5CB}" mentionId="{DC1F721A-6D4F-4233-A0D4-EDA6C6A155C7}" startIndex="0" length="18"/>
    </mentions>
  </threadedComment>
  <threadedComment ref="J181" dT="2025-11-04T21:02:14.99" personId="{BB6CAC19-7927-284F-A182-1DF26B88A34D}" id="{7B0BA672-0494-654C-9C8D-F2B9D5F10B16}">
    <text>@Bryan Prendergast @Stephen Hubbard What drives the Unplanned work to 64%</text>
    <mentions>
      <mention mentionpersonId="{D15B5079-1A76-49D5-998B-8DA4D51BB5CB}" mentionId="{30BAC37C-36FF-2D47-9548-5C876BFD6B4D}" startIndex="0" length="18"/>
      <mention mentionpersonId="{6F434760-1174-45E3-A6E6-3BE80FE166BE}" mentionId="{9856DAE1-55A0-AD49-B1C3-9F102507ED43}" startIndex="19" length="16"/>
    </mentions>
  </threadedComment>
  <threadedComment ref="J181" dT="2025-11-06T14:06:23.99" personId="{6C38AC3A-7BEE-4372-B62F-C4672F29B693}" id="{47CD8F66-5DC6-47DB-90F9-0F2379CF5610}" parentId="{7B0BA672-0494-654C-9C8D-F2B9D5F10B16}">
    <text>Seems at odds with the 80% sprint predictability?</text>
  </threadedComment>
  <threadedComment ref="J181" dT="2025-11-06T18:03:29.92" personId="{C8B47AF4-18AE-4045-A3F2-E2D0DECAEDA5}" id="{FD808D65-D580-49E6-88AD-C24C1457A7F3}" parentId="{7B0BA672-0494-654C-9C8D-F2B9D5F10B16}">
    <text>The new Healthcare Training Bundle tickets were there at start of the sprint (predictable), yet this project /epic was 'unplanned' work.</text>
  </threadedComment>
  <threadedComment ref="O181" dT="2026-04-02T11:02:56.39" personId="{D50A5029-F878-40F9-A126-E9724BE08C40}" id="{37079D49-756A-4EF4-BA45-5BC181462A5D}" done="1">
    <text>@Bryan Prendergast @Stephen Hubbard steady downward trend here. Was there anything in particular you all did to drive this down?</text>
    <mentions>
      <mention mentionpersonId="{D15B5079-1A76-49D5-998B-8DA4D51BB5CB}" mentionId="{DF93C553-6779-41BA-81B6-07D5082FE865}" startIndex="0" length="18"/>
      <mention mentionpersonId="{6F434760-1174-45E3-A6E6-3BE80FE166BE}" mentionId="{5A8642D7-1160-426D-B5F6-72D610B0C71B}" startIndex="19" length="16"/>
    </mentions>
  </threadedComment>
  <threadedComment ref="O181" dT="2026-04-02T14:23:19.05" personId="{C8B47AF4-18AE-4045-A3F2-E2D0DECAEDA5}" id="{66335387-8A10-4ACE-A992-F08A48CA9F55}" parentId="{37079D49-756A-4EF4-BA45-5BC181462A5D}">
    <text>We started planning to work on up to three PDR bugs per Sprint. If we were to go beyond this it would be "Unplanned".</text>
  </threadedComment>
  <threadedComment ref="K193" dT="2025-12-03T14:23:08.63" personId="{6C38AC3A-7BEE-4372-B62F-C4672F29B693}" id="{85ACC69E-BEE8-41A4-8882-B85E61A6541A}" done="1">
    <text>@Bryan Prendergast @Stephen Hubbard What drove this change? Seems like 100% has been the norm</text>
    <mentions>
      <mention mentionpersonId="{D15B5079-1A76-49D5-998B-8DA4D51BB5CB}" mentionId="{A8C621B3-7271-48DE-BDBE-16AD6830A3DA}" startIndex="0" length="18"/>
      <mention mentionpersonId="{6F434760-1174-45E3-A6E6-3BE80FE166BE}" mentionId="{AF4AC8CF-875B-409B-AD7C-DEE55FFEB8AB}" startIndex="19" length="16"/>
    </mentions>
  </threadedComment>
  <threadedComment ref="K193" dT="2025-12-03T18:08:50.58" personId="{C8B47AF4-18AE-4045-A3F2-E2D0DECAEDA5}" id="{4636DE5B-0715-42E0-BB9C-4B56A22D8DD7}" parentId="{85ACC69E-BEE8-41A4-8882-B85E61A6541A}">
    <text>For Q2 we have 2 initiatives Done and 2 in Dev Complete that should move to Done in December. So December will be 100. I think I just misunderstood what Commitment % metric was back in October. Should have been 50 then likely. Read Shital Patel's details on this metric and so now am capturing accurately for November.</text>
  </threadedComment>
  <threadedComment ref="K206" dT="2025-12-03T14:24:15.66" personId="{6C38AC3A-7BEE-4372-B62F-C4672F29B693}" id="{340F5190-5C02-4B84-B281-6F63FED61917}" done="1">
    <text>@Bryan Prendergast @Stephen Hubbard Anything driving this lower month over month?</text>
    <mentions>
      <mention mentionpersonId="{D15B5079-1A76-49D5-998B-8DA4D51BB5CB}" mentionId="{11B8A306-F5D4-4A2B-B9C5-43C7DBA9A8AC}" startIndex="0" length="18"/>
      <mention mentionpersonId="{6F434760-1174-45E3-A6E6-3BE80FE166BE}" mentionId="{F66499CC-992D-41D8-9839-50716167A81E}" startIndex="19" length="16"/>
    </mentions>
  </threadedComment>
  <threadedComment ref="K206" dT="2025-12-03T18:11:05.52" personId="{C8B47AF4-18AE-4045-A3F2-E2D0DECAEDA5}" id="{5909C23B-C55C-4E55-AE1A-04A66EB93005}" parentId="{340F5190-5C02-4B84-B281-6F63FED61917}">
    <text>My guess has been that the PR reviews and merges were lower in November just due to the onsite and Thanksgiving holiday. Likely the team was a little less engaged due to these events and a little less work was merged.</text>
  </threadedComment>
  <threadedComment ref="O212" dT="2026-04-02T11:22:13.23" personId="{D50A5029-F878-40F9-A126-E9724BE08C40}" id="{03DF81B8-1468-45D2-9488-872129B913E9}" done="1">
    <text>@Bryan Prendergast @Stephen Hubbard I would rethink this one. Goal is to implement process improvements to improve something ongoing, not just a one-time thing. E.g. maybe goal is to improve the created:resolved ratio (see some of the other teams who have targeted that)</text>
    <mentions>
      <mention mentionpersonId="{D15B5079-1A76-49D5-998B-8DA4D51BB5CB}" mentionId="{F82B29C6-DC19-4AA1-95C9-3B25F65787D0}" startIndex="0" length="18"/>
      <mention mentionpersonId="{6F434760-1174-45E3-A6E6-3BE80FE166BE}" mentionId="{96F68C05-9627-424E-B264-D40222CFF479}" startIndex="19" length="16"/>
    </mentions>
  </threadedComment>
  <threadedComment ref="O212" dT="2026-04-02T14:27:58.93" personId="{C8B47AF4-18AE-4045-A3F2-E2D0DECAEDA5}" id="{52370427-5C7C-41DB-97F5-F2456C3A58CD}" parentId="{03DF81B8-1468-45D2-9488-872129B913E9}">
    <text>Done</text>
  </threadedComment>
  <threadedComment ref="O216" dT="2026-04-02T11:07:16.38" personId="{D50A5029-F878-40F9-A126-E9724BE08C40}" id="{4F12BE59-168D-4EFF-9481-47B9AB7A0FB1}" done="1">
    <text>@David Ewing @Stephen Hubbard anything you all are doing to try to increase predictability? Surprised to not see an action plan around this.</text>
    <mentions>
      <mention mentionpersonId="{58068631-2141-4FE1-B759-96966DDF18FE}" mentionId="{79A0D88D-A9D3-4315-897A-EBB6190B6223}" startIndex="0" length="12"/>
      <mention mentionpersonId="{6F434760-1174-45E3-A6E6-3BE80FE166BE}" mentionId="{644FF58F-91BC-4D9D-A864-6481516F4F76}" startIndex="13" length="16"/>
    </mentions>
  </threadedComment>
  <threadedComment ref="O216" dT="2026-04-02T15:01:28.80" personId="{23F49498-1FE4-4E03-952B-9D8793AEA56F}" id="{4DB3974F-D628-42EC-8636-3403C1EE3C89}" parentId="{4F12BE59-168D-4EFF-9481-47B9AB7A0FB1}">
    <text>I’ve added an action plan.</text>
  </threadedComment>
  <threadedComment ref="K218" dT="2025-12-03T14:25:02.76" personId="{6C38AC3A-7BEE-4372-B62F-C4672F29B693}" id="{C1A8FC97-1BD7-43AF-86F6-725B4037E919}" done="1">
    <text>@David Ewing @Stephen Hubbard  what drove this up in November?</text>
    <mentions>
      <mention mentionpersonId="{58068631-2141-4FE1-B759-96966DDF18FE}" mentionId="{B4BC6105-D7BC-423E-9F41-F07F05B6CF35}" startIndex="0" length="12"/>
      <mention mentionpersonId="{6F434760-1174-45E3-A6E6-3BE80FE166BE}" mentionId="{562AE1AC-A6A7-492C-89C1-A9A4D14079D2}" startIndex="13" length="16"/>
    </mentions>
  </threadedComment>
  <threadedComment ref="K218" dT="2025-12-03T14:40:21.14" personId="{23F49498-1FE4-4E03-952B-9D8793AEA56F}" id="{79570B78-1577-4362-96FB-6B9FF74CB25F}" parentId="{C1A8FC97-1BD7-43AF-86F6-725B4037E919}">
    <text>The issues discovered when building the custom questions feature and the usability issues with Survey Instance Filters.  Some were bugs, and others were requirement changes to make the customer experience better.</text>
  </threadedComment>
  <threadedComment ref="O218" dT="2026-04-02T11:06:27.94" personId="{D50A5029-F878-40F9-A126-E9724BE08C40}" id="{3C9C20F4-6F17-4170-8F70-AD9F92F4F0DB}">
    <text>@David Ewing @Stephen Hubbard was there anything in particular you all have done to drive down unplanned work in recent months?</text>
    <mentions>
      <mention mentionpersonId="{58068631-2141-4FE1-B759-96966DDF18FE}" mentionId="{A3B27547-9023-4A38-B41C-2259FC342724}" startIndex="0" length="12"/>
      <mention mentionpersonId="{6F434760-1174-45E3-A6E6-3BE80FE166BE}" mentionId="{6B72474B-6D76-468A-B616-C4F3D85402EB}" startIndex="13" length="16"/>
    </mentions>
  </threadedComment>
  <threadedComment ref="O218" dT="2026-04-02T14:55:32.58" personId="{23F49498-1FE4-4E03-952B-9D8793AEA56F}" id="{C9E5A2B9-649A-40E8-B4E7-40C586C39BD9}" parentId="{3C9C20F4-6F17-4170-8F70-AD9F92F4F0DB}">
    <text>We aligned our definition of Unplanned work.  Unplanned is reserved for work we didn’t plan on doing after a sprint starts.  Unplanned work includes tasks we need to accomplish that were not part of our quarterly timeline.</text>
  </threadedComment>
  <threadedComment ref="K230" dT="2025-12-03T14:26:03.16" personId="{6C38AC3A-7BEE-4372-B62F-C4672F29B693}" id="{6AC22B48-F5F7-4EF4-8921-AFCE4410F0A7}" done="1">
    <text>@David Ewing @Stephen Hubbard commitment pctg seems to fluctuate quite a bit month over month. Is the team doing anything to try to stabilize?</text>
    <mentions>
      <mention mentionpersonId="{58068631-2141-4FE1-B759-96966DDF18FE}" mentionId="{AC62EB67-95DC-4D64-BCA1-13821CF4244A}" startIndex="0" length="12"/>
      <mention mentionpersonId="{6F434760-1174-45E3-A6E6-3BE80FE166BE}" mentionId="{D1ECE89B-3D5F-497E-BDA3-6EC51E0C4838}" startIndex="13" length="16"/>
    </mentions>
  </threadedComment>
  <threadedComment ref="K230" dT="2025-12-03T14:41:55.61" personId="{23F49498-1FE4-4E03-952B-9D8793AEA56F}" id="{82270F63-99CE-452B-AD5A-17F1054F2AF4}" parentId="{6AC22B48-F5F7-4EF4-8921-AFCE4410F0A7}">
    <text>This is expected, the goal is 100% by the end of the quarter.</text>
  </threadedComment>
  <threadedComment ref="O254" dT="2026-04-02T11:10:07.79" personId="{D50A5029-F878-40F9-A126-E9724BE08C40}" id="{E8DDEDF3-F747-4FC1-99E0-8AA7C4452E7E}" done="1">
    <text>@Ruben Crismariu @Stephen Hubbard very nice sprint predictability over the last three months. Anything you all have been doing to drive this?</text>
    <mentions>
      <mention mentionpersonId="{39EF3575-E61E-4EAC-8B44-2A0EAF2958C9}" mentionId="{75C1613F-0B40-40EE-982A-5B2832BF5340}" startIndex="0" length="16"/>
      <mention mentionpersonId="{6F434760-1174-45E3-A6E6-3BE80FE166BE}" mentionId="{833B954B-2F71-4DE2-99B2-17A184AEBF6F}" startIndex="17" length="16"/>
    </mentions>
  </threadedComment>
  <threadedComment ref="O254" dT="2026-04-02T17:00:51.47" personId="{52F446A8-69F4-F244-B46A-D48D83738FA0}" id="{C6DD0520-6893-4739-B8AB-1641A710BFC1}" parentId="{E8DDEDF3-F747-4FC1-99E0-8AA7C4452E7E}">
    <text>2 things, closely look at scheduled PTO for upcoming sprint and account for people being out.  Changed sprint planning to look at the work for each individual rather than look at work for the whole team.</text>
  </threadedComment>
  <threadedComment ref="K255" dT="2025-12-03T14:27:39.48" personId="{6C38AC3A-7BEE-4372-B62F-C4672F29B693}" id="{FE52AFEF-A40D-4EA1-9554-54EA1EDC5CEA}" done="1">
    <text>@Ruben Crismariu @Stephen Hubbard why the Cycle Time jump in Nov? Is the team doing anything to try to stabilize this?</text>
    <mentions>
      <mention mentionpersonId="{39EF3575-E61E-4EAC-8B44-2A0EAF2958C9}" mentionId="{09AAD98A-14B4-46EC-BAF1-015A15B4C8EC}" startIndex="0" length="16"/>
      <mention mentionpersonId="{6F434760-1174-45E3-A6E6-3BE80FE166BE}" mentionId="{EFD8F316-53B5-401E-B54C-5CBD7E68D158}" startIndex="17" length="16"/>
    </mentions>
  </threadedComment>
  <threadedComment ref="K255" dT="2025-12-04T16:17:38.17" personId="{52F446A8-69F4-F244-B46A-D48D83738FA0}" id="{9776C47E-8C21-494F-A3FC-1053839ED4BA}" parentId="{FE52AFEF-A40D-4EA1-9554-54EA1EDC5CEA}">
    <text>i looked at the cycle time for Oct and Nov and did a compare.
Some things that impacted the cycle time.
For Oct: (quick turnarounds)
Started a process where on call person creates a ticket for all asks/requests that come in so that we can better track this type of work. Most of these tickets are quickly resolved same day and closed out with notes.
had 2 appsec tickets that were pulled into the sprint and moved to done as no work was needed
had a few quick STE (automation stories) completed same day.
For Nov: (stories took longer)
In Nov. we had significantly more PTO, leaving stories in progress for longer periods of time than usual. (expecting same trend in Dec.)</text>
  </threadedComment>
  <threadedComment ref="J256" dT="2025-11-04T21:03:15.78" personId="{BB6CAC19-7927-284F-A182-1DF26B88A34D}" id="{6A06D338-A302-C14D-AD68-C55F96DAC937}">
    <text xml:space="preserve">@Ruben Crismariu @Stephen Hubbard What is driving the high percentage of unplanned work? </text>
    <mentions>
      <mention mentionpersonId="{39EF3575-E61E-4EAC-8B44-2A0EAF2958C9}" mentionId="{8BE3FAE8-56B7-F146-8C15-DCB159DBAB86}" startIndex="0" length="16"/>
      <mention mentionpersonId="{6F434760-1174-45E3-A6E6-3BE80FE166BE}" mentionId="{EB13EC1A-6A98-1848-AECB-DEB00E5467FB}" startIndex="17" length="16"/>
    </mentions>
  </threadedComment>
  <threadedComment ref="J256" dT="2025-11-04T21:36:54.97" personId="{52F446A8-69F4-F244-B46A-D48D83738FA0}" id="{DD8B4D2D-4ACF-491C-BA74-0ECC843CA323}" parentId="{6A06D338-A302-C14D-AD68-C55F96DAC937}">
    <text>In October we found out that we had to update FileClient in order to avoid a potential MIN.  This took 2 weeks and was unplanned</text>
  </threadedComment>
  <threadedComment ref="K262" dT="2025-12-03T14:28:18.48" personId="{6C38AC3A-7BEE-4372-B62F-C4672F29B693}" id="{7390BA02-84A3-460D-824D-C1C4C95400DB}" done="1">
    <text>@Ruben Crismariu @Stephen Hubbard Seeing a trend up for PDRs - what is driving this? Is it tied to a release?</text>
    <mentions>
      <mention mentionpersonId="{39EF3575-E61E-4EAC-8B44-2A0EAF2958C9}" mentionId="{84F19BA6-4A2F-4477-A153-1DE45ABC5C70}" startIndex="0" length="16"/>
      <mention mentionpersonId="{6F434760-1174-45E3-A6E6-3BE80FE166BE}" mentionId="{1DCC4EDA-3CC5-45FC-B22E-288B0242322E}" startIndex="17" length="16"/>
    </mentions>
  </threadedComment>
  <threadedComment ref="K262" dT="2025-12-04T15:48:27.13" personId="{52F446A8-69F4-F244-B46A-D48D83738FA0}" id="{A1CA1D2D-26A2-400C-BFF4-80E21DCF4CCC}" parentId="{7390BA02-84A3-460D-824D-C1C4C95400DB}">
    <text>Reviewed the 11 PDR's with product and with the exception of 1 PDR which was due to our workengine getting stuck, the remaining 10 were old issues not related to any recent releases.  Looking back 12 months our monthly average is 7 PDR's</text>
  </threadedComment>
  <threadedComment ref="O263" dT="2026-04-02T11:11:45.76" personId="{D50A5029-F878-40F9-A126-E9724BE08C40}" id="{2C7C18E9-9445-464A-A26C-42B29B33E317}">
    <text xml:space="preserve">@Ruben Crismariu @Stephen Hubbard  Nice to see the ratio flipped here! </text>
    <mentions>
      <mention mentionpersonId="{39EF3575-E61E-4EAC-8B44-2A0EAF2958C9}" mentionId="{B70C0888-307B-471B-BF7F-5D1141112E71}" startIndex="0" length="16"/>
      <mention mentionpersonId="{6F434760-1174-45E3-A6E6-3BE80FE166BE}" mentionId="{46F01E0D-5027-4033-92BC-D6014C10E370}" startIndex="17" length="16"/>
    </mentions>
  </threadedComment>
  <threadedComment ref="O263" dT="2026-04-02T16:59:39.64" personId="{52F446A8-69F4-F244-B46A-D48D83738FA0}" id="{1344AFA8-DBD9-4ACB-A13E-75EDD5528810}" parentId="{2C7C18E9-9445-464A-A26C-42B29B33E317}">
    <text>yes, made an effort to focus on closing out PDR's.</text>
  </threadedComment>
  <threadedComment ref="O268" dT="2026-04-02T11:09:16.78" personId="{D50A5029-F878-40F9-A126-E9724BE08C40}" id="{AAA80C4E-2971-42CC-8528-87C27B9E056F}" done="1">
    <text>@Ruben Crismariu @Stephen Hubbard should be 100% no?</text>
    <mentions>
      <mention mentionpersonId="{39EF3575-E61E-4EAC-8B44-2A0EAF2958C9}" mentionId="{49A51BF3-61BC-42D1-BD16-064B44F160EB}" startIndex="0" length="16"/>
      <mention mentionpersonId="{6F434760-1174-45E3-A6E6-3BE80FE166BE}" mentionId="{6B71E383-9479-4F96-9E3D-94F1514800EC}" startIndex="17" length="16"/>
    </mentions>
  </threadedComment>
  <threadedComment ref="O268" dT="2026-04-02T16:58:59.80" personId="{52F446A8-69F4-F244-B46A-D48D83738FA0}" id="{E8222882-237E-4D1B-A5C8-3CCC1C7B6923}" parentId="{AAA80C4E-2971-42CC-8528-87C27B9E056F}">
    <text>updated</text>
  </threadedComment>
  <threadedComment ref="O286" dT="2026-04-02T11:12:49.95" personId="{D50A5029-F878-40F9-A126-E9724BE08C40}" id="{2D1A5B3D-8BA6-41D0-8C1A-1C242B14F94D}" done="1">
    <text>@Ruben Crismariu @Stephen Hubbard steady uptick here over the last two months. Was this because of Dan Santimore’s addition to the team?</text>
    <mentions>
      <mention mentionpersonId="{39EF3575-E61E-4EAC-8B44-2A0EAF2958C9}" mentionId="{23478E8B-81AD-4738-A3A6-C3E902971986}" startIndex="0" length="16"/>
      <mention mentionpersonId="{6F434760-1174-45E3-A6E6-3BE80FE166BE}" mentionId="{2FE0C104-C4A5-472A-9CD2-39996BC5D8B4}" startIndex="17" length="16"/>
    </mentions>
  </threadedComment>
  <threadedComment ref="O286" dT="2026-04-02T17:02:40.97" personId="{52F446A8-69F4-F244-B46A-D48D83738FA0}" id="{65C0CD53-F693-45D0-A287-C5CB04596EB6}" parentId="{2D1A5B3D-8BA6-41D0-8C1A-1C242B14F94D}">
    <text>i would say that is one reason, the team also communicates more in PR's</text>
  </threadedComment>
  <threadedComment ref="K291" dT="2025-12-03T14:30:05.42" personId="{6C38AC3A-7BEE-4372-B62F-C4672F29B693}" id="{16D60315-31D4-45EB-BB9A-72246DF1C219}" done="1">
    <text>@Monica Johlic @Stephen Hubbard is something driving the downward trend for predictability?</text>
    <mentions>
      <mention mentionpersonId="{A1C53A93-497B-48B6-A773-32E0F043FF4B}" mentionId="{8495E5AE-30A8-415F-8803-7BE69C5CE615}" startIndex="0" length="14"/>
      <mention mentionpersonId="{6F434760-1174-45E3-A6E6-3BE80FE166BE}" mentionId="{C1AA1CB9-FF07-45A3-8893-E6F055EF541E}" startIndex="15" length="16"/>
    </mentions>
  </threadedComment>
  <threadedComment ref="K291" dT="2025-12-03T17:42:15.73" personId="{C3B57594-1D08-4895-AEBE-6A43354F6B2A}" id="{7DD7C5C2-587C-4D8A-B49E-C5DFE4CE223C}" parentId="{16D60315-31D4-45EB-BB9A-72246DF1C219}">
    <text xml:space="preserve">There were 2 main factors.
1. We finally got access to salary.com and we pivoted mid sprint to do the work that had been blocked. We wanted to ensure our assumptions were correct and some were and some were not and we have to make changes.
2. I got a new SSE and STE and I am still onboarding and adjusting my sprint estimates based on how quick they are getting up to speed.  </text>
  </threadedComment>
  <threadedComment ref="O291" dT="2026-04-02T10:42:17.36" personId="{D50A5029-F878-40F9-A126-E9724BE08C40}" id="{C575B263-8DFC-47C2-AFEA-7F93838F87FA}" done="1">
    <text>@Monica Johlic  @Stephen Hubbard any specific actions that led to this jump? Was it the action plan from Feb?</text>
    <mentions>
      <mention mentionpersonId="{A1C53A93-497B-48B6-A773-32E0F043FF4B}" mentionId="{4923EE03-BB45-4375-94D3-E6CA2852DC5C}" startIndex="0" length="14"/>
      <mention mentionpersonId="{6F434760-1174-45E3-A6E6-3BE80FE166BE}" mentionId="{878F6B4F-241B-4188-B5C8-D7D2C0027618}" startIndex="16" length="16"/>
    </mentions>
  </threadedComment>
  <threadedComment ref="O291" dT="2026-04-02T14:33:33.44" personId="{C3B57594-1D08-4895-AEBE-6A43354F6B2A}" id="{CE3748E4-1BA7-481B-9985-99BA315B4A81}" parentId="{C575B263-8DFC-47C2-AFEA-7F93838F87FA}">
    <text xml:space="preserve">We found out that we needed to leave more space for prod issues, onboarding and planning. We planned with that in mind. Also, the work that we were doing had less unknowns and for the ones we had working with other teams, we were prepare with a plan. </text>
  </threadedComment>
  <threadedComment ref="O291" dT="2026-04-02T17:22:54.64" personId="{D50A5029-F878-40F9-A126-E9724BE08C40}" id="{1D9765AD-3E72-4B95-9E92-F80E3E130D1D}" parentId="{C575B263-8DFC-47C2-AFEA-7F93838F87FA}">
    <text>@Monica Johlic nice! Do you think it will remain this high, dip back down to the 75%-ish range or somewhere in between?</text>
    <mentions>
      <mention mentionpersonId="{A1C53A93-497B-48B6-A773-32E0F043FF4B}" mentionId="{727F00F2-E1F8-489F-AD3C-88FF81DB9061}" startIndex="0" length="14"/>
    </mentions>
  </threadedComment>
  <threadedComment ref="O291" dT="2026-04-02T20:54:08.24" personId="{C3B57594-1D08-4895-AEBE-6A43354F6B2A}" id="{77543A8E-4B1D-4FA1-A878-A04D2A99824C}" parentId="{C575B263-8DFC-47C2-AFEA-7F93838F87FA}">
    <text xml:space="preserve">Something in between but still keeping the 80%-85% target. I am still learning Malik’s velocity, and I want to be careful not to burn out the team. </text>
  </threadedComment>
  <threadedComment ref="O299" dT="2026-04-02T11:14:03.99" personId="{D50A5029-F878-40F9-A126-E9724BE08C40}" id="{320A136F-3888-4843-BB29-DDB20EE5A2D8}" done="1">
    <text>@Monica Johlic @Stephen Hubbard seeing an uptick the last couple months. Any themes or trends here? Was this related to any recent releases?</text>
    <mentions>
      <mention mentionpersonId="{A1C53A93-497B-48B6-A773-32E0F043FF4B}" mentionId="{F5EA0C8A-646E-44B2-B44A-D74FACF63457}" startIndex="0" length="14"/>
      <mention mentionpersonId="{6F434760-1174-45E3-A6E6-3BE80FE166BE}" mentionId="{5FEE5205-EE90-4A9B-9E49-0B8289F9C35B}" startIndex="15" length="16"/>
    </mentions>
  </threadedComment>
  <threadedComment ref="O299" dT="2026-04-02T15:28:59.35" personId="{C3B57594-1D08-4895-AEBE-6A43354F6B2A}" id="{7927C593-4F4A-48A6-AB4A-35B62A1CBAC7}" parentId="{320A136F-3888-4843-BB29-DDB20EE5A2D8}">
    <text xml:space="preserve">This is more related to a release in July, but clients didn’t have the opportunity to use the application until our pick time. There have been several edge cases. One-off configuration and other factors that we didn’t consider. We are creating test cases to ensure testing in the future. </text>
  </threadedComment>
  <threadedComment ref="J308" dT="2025-11-04T21:04:24.57" personId="{BB6CAC19-7927-284F-A182-1DF26B88A34D}" id="{1DFE6C16-B6B5-544C-903B-F0A260A82B9A}">
    <text xml:space="preserve">@Monica Johlic @Stephen Hubbard What is driving the high percentage of Maintenance? </text>
    <mentions>
      <mention mentionpersonId="{A1C53A93-497B-48B6-A773-32E0F043FF4B}" mentionId="{62A13B56-5D7E-AC4D-A48D-9E3332ADCC3F}" startIndex="0" length="14"/>
      <mention mentionpersonId="{6F434760-1174-45E3-A6E6-3BE80FE166BE}" mentionId="{727CF3CA-5D37-544F-B073-8690FF846820}" startIndex="15" length="16"/>
    </mentions>
  </threadedComment>
  <threadedComment ref="J308" dT="2025-11-05T21:02:19.48" personId="{C3B57594-1D08-4895-AEBE-6A43354F6B2A}" id="{827BB844-FD49-4504-8743-62CEE6D4B38F}" parentId="{1DFE6C16-B6B5-544C-903B-F0A260A82B9A}">
    <text xml:space="preserve">We have addressed several PDRs that were previously scheduled for resolution as part of the currency work that was deprioritized. Also, we created tickets to align with the qase standards. Those get counted even if we don’t do the work. </text>
  </threadedComment>
  <threadedComment ref="O313" dT="2026-04-02T11:15:24.05" personId="{D50A5029-F878-40F9-A126-E9724BE08C40}" id="{F05A1553-BAE9-4A9B-BF2B-7738E4EB8C92}" done="1">
    <text xml:space="preserve">@Monica Johlic @Stephen Hubbard interesting upward trend here! What do you attribute this to? Any specific actions taken? </text>
    <mentions>
      <mention mentionpersonId="{A1C53A93-497B-48B6-A773-32E0F043FF4B}" mentionId="{A291F8A2-9F7A-47CF-8873-4540959ED4A8}" startIndex="0" length="14"/>
      <mention mentionpersonId="{6F434760-1174-45E3-A6E6-3BE80FE166BE}" mentionId="{CF82BCD3-7B97-499F-B2B3-98DC7EC943C6}" startIndex="15" length="16"/>
    </mentions>
  </threadedComment>
  <threadedComment ref="O313" dT="2026-04-02T15:33:21.67" personId="{C3B57594-1D08-4895-AEBE-6A43354F6B2A}" id="{14914343-70E3-43F9-BE82-E8BBD5D5AA66}" parentId="{F05A1553-BAE9-4A9B-BF2B-7738E4EB8C92}">
    <text>I don’t believe anything was done intentionally for this. We are always looking at how to improve.</text>
  </threadedComment>
  <threadedComment ref="O324" dT="2026-04-02T17:24:08.29" personId="{D50A5029-F878-40F9-A126-E9724BE08C40}" id="{40C1DE3E-E1B0-4E47-A2C9-2417F310E789}" done="1">
    <text>@Monica Johlic @Stephen Hubbard missing action items?</text>
    <mentions>
      <mention mentionpersonId="{A1C53A93-497B-48B6-A773-32E0F043FF4B}" mentionId="{CA442902-FC37-4BB2-A987-DE44D64E5EDC}" startIndex="0" length="14"/>
      <mention mentionpersonId="{6F434760-1174-45E3-A6E6-3BE80FE166BE}" mentionId="{19A5957C-19B7-4F65-BDEA-EC342AD3141C}" startIndex="15" length="16"/>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N4" dT="2025-10-29T13:16:41.16" personId="{BB6CAC19-7927-284F-A182-1DF26B88A34D}" id="{AC022D2A-F92F-4878-878B-EE0D42BE0087}">
    <text>@Bryan Prendergast @Stephen Hubbard Do we know why the unplanned work keeps risking over the past 4 sprints?</text>
    <mentions>
      <mention mentionpersonId="{D15B5079-1A76-49D5-998B-8DA4D51BB5CB}" mentionId="{E3123F3F-5892-4A79-A95D-7FC918F617FB}" startIndex="0" length="18"/>
      <mention mentionpersonId="{6F434760-1174-45E3-A6E6-3BE80FE166BE}" mentionId="{E4664B4B-59D3-48AF-99A1-7D8730BD87E5}" startIndex="19" length="16"/>
    </mentions>
  </threadedComment>
  <threadedComment ref="N4" dT="2025-10-29T21:26:51.15" personId="{C8B47AF4-18AE-4045-A3F2-E2D0DECAEDA5}" id="{B5FC8630-852E-4E2D-847F-393691DD4B49}" parentId="{AC022D2A-F92F-4878-878B-EE0D42BE0087}">
    <text>Some of this is due to pivoting to the Healthcare Training bundle project. Other is likely just related to a couple PDRs and higher priority tech debt tickets that were pulled-in, I am guessing.</text>
  </threadedComment>
  <threadedComment ref="N4" dT="2025-10-29T21:28:56.82" personId="{C8B47AF4-18AE-4045-A3F2-E2D0DECAEDA5}" id="{70BE98F0-3D29-4B32-BC71-7FE160E6D885}" parentId="{AC022D2A-F92F-4878-878B-EE0D42BE0087}">
    <text>We also met with a customer and received feedback that led to new tickets.</text>
  </threadedComment>
  <threadedComment ref="R4" dT="2026-01-06T22:52:14.87" personId="{C5FCA278-69E2-40FE-9A5A-1A928D8BC003}" id="{CB7348E9-92F5-449C-8370-72C64B78DFDA}">
    <text>@Bryan Prendergast This continues to feel pretty high.  Are the bugs and tech debt you mention below part of the overall "maintenance" epic/initiative?  (If so, maybe the epic should be marked as "planned" since we do plan to take on small issues as they come up.)  Or are these must-have bugs fixes that interrupted existing work?</text>
    <mentions>
      <mention mentionpersonId="{D15B5079-1A76-49D5-998B-8DA4D51BB5CB}" mentionId="{93FC4A17-9CAF-4200-9505-5DA9E9267200}" startIndex="0" length="18"/>
    </mentions>
  </threadedComment>
  <threadedComment ref="R4" dT="2026-01-14T21:06:01.59" personId="{C8B47AF4-18AE-4045-A3F2-E2D0DECAEDA5}" id="{4DD55238-8C0C-46BA-9AFB-E86A5B1561E5}" parentId="{CB7348E9-92F5-449C-8370-72C64B78DFDA}">
    <text>Will look into adjusting the work type for certain H2 epics.</text>
  </threadedComment>
  <threadedComment ref="Q12" dT="2025-12-18T15:55:27.13" personId="{C5FCA278-69E2-40FE-9A5A-1A928D8BC003}" id="{CE80E115-6A65-4F51-9641-55C0085DD11B}" done="1">
    <text xml:space="preserve">I think this should be 100%, but I left a comment on the Commitment Percentage wiki page (https://paylocity.atlassian.net/wiki/spaces/EN/pages/1742733772/Commitment).  
The instructions say to get the number from items in "Done," but I believe we also want to include items in Dev Complete.
@Bryan Prendergast </text>
    <mentions>
      <mention mentionpersonId="{D15B5079-1A76-49D5-998B-8DA4D51BB5CB}" mentionId="{8A2AFC48-987E-4C28-8AF7-561B9805E0FB}" startIndex="293" length="18"/>
    </mentions>
    <extLst>
      <x:ext xmlns:xltc2="http://schemas.microsoft.com/office/spreadsheetml/2020/threadedcomments2" uri="{F7C98A9C-CBB3-438F-8F68-D28B6AF4A901}">
        <xltc2:checksum>3780323011</xltc2:checksum>
        <xltc2:hyperlink startIndex="90" length="76" url="https://paylocity.atlassian.net/wiki/spaces/EN/pages/1742733772/Commitment)."/>
      </x:ext>
    </extLst>
  </threadedComment>
  <threadedComment ref="U27" dT="2026-02-17T16:05:47.99" personId="{C3B57594-1D08-4895-AEBE-6A43354F6B2A}" id="{8C3CB82E-597F-4E68-A799-166DE1C4748B}">
    <text>PDRs</text>
  </threadedComment>
  <threadedComment ref="M35" dT="2025-10-29T13:15:51.14" personId="{BB6CAC19-7927-284F-A182-1DF26B88A34D}" id="{462FE3C0-D69F-4A32-83EC-748A2F9F3ABD}">
    <text>@Monica Johlic @Stephen Hubbard is this accurate?  I thought this was a monthly/quarterly value based on our Say/Do</text>
    <mentions>
      <mention mentionpersonId="{A1C53A93-497B-48B6-A773-32E0F043FF4B}" mentionId="{510243A7-F828-45F7-AD02-8560BFF3A71B}" startIndex="0" length="14"/>
      <mention mentionpersonId="{6F434760-1174-45E3-A6E6-3BE80FE166BE}" mentionId="{03EB62D9-D512-47CD-842E-536CA73402B0}" startIndex="15" length="16"/>
    </mentions>
  </threadedComment>
  <threadedComment ref="M35" dT="2025-10-29T14:51:51.68" personId="{C3B57594-1D08-4895-AEBE-6A43354F6B2A}" id="{D9BFC663-DE23-41D2-9BD1-C11629C7EB41}" parentId="{462FE3C0-D69F-4A32-83EC-748A2F9F3ABD}">
    <text>This is on the epic level. It would be a good question for Shital if we don’t want to record by sprint; maybe we can remove it from the spreadsheet. I use this dashboard: https://paylocity.atlassian.net/jira/dashboards/11802</text>
    <extLst>
      <x:ext xmlns:xltc2="http://schemas.microsoft.com/office/spreadsheetml/2020/threadedcomments2" uri="{F7C98A9C-CBB3-438F-8F68-D28B6AF4A901}">
        <xltc2:checksum>1577405708</xltc2:checksum>
        <xltc2:hyperlink startIndex="171" length="53" url="https://paylocity.atlassian.net/jira/dashboards/11802"/>
      </x:ext>
    </extLst>
  </threadedComment>
  <threadedComment ref="F36" dT="2025-08-25T21:25:07.30" personId="{C3B57594-1D08-4895-AEBE-6A43354F6B2A}" id="{5FFA3F40-A843-4251-A382-058131C99A79}">
    <text>Bug bash sprint</text>
  </threadedComment>
  <threadedComment ref="R48" dT="2026-01-05T16:40:26.83" personId="{7F33B518-65D7-4107-9A2A-76513B6F860A}" id="{00B6BF08-D01B-4119-AB50-1E404EB172E5}">
    <text>E-Verify intermittently blocking our test calls has blocked stories in the sprint from being completed. We also had a lot of team members out on PTO for the holidays</text>
  </threadedComment>
  <threadedComment ref="M49" dT="2025-11-04T21:06:01.77" personId="{BB6CAC19-7927-284F-A182-1DF26B88A34D}" id="{CD57C4AA-3658-9F4F-AB9F-906710AD7F5E}">
    <text>@Trevor Romey @Bob Baird Wondering what is driving up the cycle time over the past 3 sprints?</text>
    <mentions>
      <mention mentionpersonId="{4F4A2D06-21ED-4DD7-AF81-93B1EE1DA5B4}" mentionId="{FCC4BD46-C23C-4843-BDCF-5B39D871CD41}" startIndex="0" length="13"/>
      <mention mentionpersonId="{02298318-B8BA-A340-9A4A-DDFBFCCE78CF}" mentionId="{A220D026-F558-ED43-B50D-FA8DB715345E}" startIndex="14" length="10"/>
    </mentions>
  </threadedComment>
  <threadedComment ref="M49" dT="2025-11-05T15:27:22.49" personId="{7F33B518-65D7-4107-9A2A-76513B6F860A}" id="{693697E6-63F0-400F-80D8-15734DF02C97}" parentId="{CD57C4AA-3658-9F4F-AB9F-906710AD7F5E}">
    <text>The team has been working on longer running/ bigger stories related to E-Verify and I9 enhancements over the past 3 sprints</text>
  </threadedComment>
  <threadedComment ref="O49" dT="2025-11-25T16:52:23.47" personId="{7F33B518-65D7-4107-9A2A-76513B6F860A}" id="{E86BF0D1-74A3-4E18-AE30-EB91BA0814B6}">
    <text>This sprint had more 8 point stories in it. This is up due to more complex work this sprint.</text>
  </threadedComment>
  <threadedComment ref="S49" dT="2026-01-13T16:43:49.75" personId="{7F33B518-65D7-4107-9A2A-76513B6F860A}" id="{DA9A5F7A-ECF9-4033-8BBA-0EB69D161254}">
    <text>E-Verify issues during the sprint slowed down our cycle time due to 2 days of being blocked from connecting and testing their api</text>
  </threadedComment>
  <threadedComment ref="T49" dT="2026-02-02T14:00:48.56" personId="{6C38AC3A-7BEE-4372-B62F-C4672F29B693}" id="{58411DC1-7733-429B-8E90-FF0B40657D20}" done="1">
    <text>@Trevor Romey was this reduction due to action taken?</text>
    <mentions>
      <mention mentionpersonId="{4F4A2D06-21ED-4DD7-AF81-93B1EE1DA5B4}" mentionId="{C56223AE-C561-463A-BC59-FA37C0651A0B}" startIndex="0" length="13"/>
    </mentions>
  </threadedComment>
  <threadedComment ref="T49" dT="2026-02-02T15:48:02.04" personId="{7F33B518-65D7-4107-9A2A-76513B6F860A}" id="{A76ECD79-8335-4CAD-942D-805B3E673AB6}" parentId="{58411DC1-7733-429B-8E90-FF0B40657D20}">
    <text xml:space="preserve">We had more low effort stories in the this sprint which reduced the cycle time for those stories. </text>
  </threadedComment>
  <threadedComment ref="S58" dT="2026-01-12T18:16:33.28" personId="{7F33B518-65D7-4107-9A2A-76513B6F860A}" id="{D11DF399-3FF8-4EDC-B476-7B971372A944}">
    <text>Start of a new quarter</text>
  </threadedComment>
  <threadedComment ref="P61" dT="2025-12-02T16:27:38.19" personId="{7F33B518-65D7-4107-9A2A-76513B6F860A}" id="{FA0B302A-1B17-41D5-808B-3A2EF5B8864A}">
    <text>One week sprint where we focused on tech debt and maintenance items during Thanksgiving week</text>
  </threadedComment>
  <threadedComment ref="M72" dT="2025-10-24T18:28:29.85" personId="{52F446A8-69F4-F244-B46A-D48D83738FA0}" id="{08A584A1-96DA-492D-99A9-0E9386EF5C81}">
    <text>Had some appsec tickets that were brought in and no longer needed to be worked on and moved to done. Also had several STE stories that were quickly moved across.</text>
  </threadedComment>
  <threadedComment ref="R72" dT="2026-01-06T22:56:23.98" personId="{C5FCA278-69E2-40FE-9A5A-1A928D8BC003}" id="{58FACE01-9815-43A2-A5EB-9288C16E3FAA}" done="1">
    <text>@Ruben Crismariu - Nice trend over the last several sprints!</text>
    <mentions>
      <mention mentionpersonId="{39EF3575-E61E-4EAC-8B44-2A0EAF2958C9}" mentionId="{E2FD907A-A853-4FB1-9F05-F1156E9CD77B}" startIndex="0" length="16"/>
    </mentions>
  </threadedComment>
  <threadedComment ref="S72" dT="2026-01-14T18:11:23.05" personId="{52F446A8-69F4-F244-B46A-D48D83738FA0}" id="{DCEC4B60-BA81-46A8-AD8D-5F7C2239200E}">
    <text>Cycle time higher due to sprint starting the week most team members were out on PTO, so stories sat longer.  But majority of stories were completed, giving us a nice sprint predictability</text>
  </threadedComment>
  <threadedComment ref="T72" dT="2026-02-02T14:01:51.12" personId="{6C38AC3A-7BEE-4372-B62F-C4672F29B693}" id="{6940C7D2-EDBA-4D0B-9654-753CF3759F7D}" done="1">
    <text>@Ruben Crismariu big reduction in cycle time! What do you attribute this to? Was there any specific action taken?</text>
    <mentions>
      <mention mentionpersonId="{39EF3575-E61E-4EAC-8B44-2A0EAF2958C9}" mentionId="{EB289EA1-EE8D-4094-9A3D-68D43DDADEFD}" startIndex="0" length="16"/>
    </mentions>
  </threadedComment>
  <threadedComment ref="T72" dT="2026-02-03T15:27:10.03" personId="{52F446A8-69F4-F244-B46A-D48D83738FA0}" id="{A5E3D8CF-1E3D-4174-BD49-A7EC2D32A70E}" parentId="{6940C7D2-EDBA-4D0B-9654-753CF3759F7D}">
    <text>for the most part, it was just smaller stories and bug fixes.  One thing that we did start doing a few sprints back was for longer running stories like HLD, requirements gathering, at the end of the sprint we would close out the story and create a new Part 2 or Part 3 story rather than carrying the same story over to the next sprint.  This has helped bring this metric down.</text>
  </threadedComment>
  <threadedComment ref="Q81" dT="2025-12-18T16:41:51.59" personId="{C5FCA278-69E2-40FE-9A5A-1A928D8BC003}" id="{E72BB7A5-A575-4077-99FC-22EE65C51B50}" done="1">
    <text>@Ruben Crismariu - this should be 50% based on this dashboard, right?  https://paylocity.atlassian.net/jira/dashboards/11802
Looks like the remaining epic is a maintenance style one that'll be closed at the end of Q2.</text>
    <mentions>
      <mention mentionpersonId="{39EF3575-E61E-4EAC-8B44-2A0EAF2958C9}" mentionId="{AEF4702B-FD8C-4D1B-8640-7B19C8F0B02A}" startIndex="0" length="16"/>
    </mentions>
    <extLst>
      <x:ext xmlns:xltc2="http://schemas.microsoft.com/office/spreadsheetml/2020/threadedcomments2" uri="{F7C98A9C-CBB3-438F-8F68-D28B6AF4A901}">
        <xltc2:checksum>1254354823</xltc2:checksum>
        <xltc2:hyperlink startIndex="71" length="53" url="https://paylocity.atlassian.net/jira/dashboards/11802"/>
      </x:ext>
    </extLst>
  </threadedComment>
  <threadedComment ref="T84" dT="2026-02-04T17:06:18.88" personId="{C5FCA278-69E2-40FE-9A5A-1A928D8BC003}" id="{969E49B8-78E9-4FFA-B41D-149D6357ED2E}">
    <text>@Ruben Crismariu The last 2 sprints look like a very positive trend for Maintenance!  Any reason for the lower amount of RTB?  Maybe the shift to focus on stability for year-end?</text>
    <mentions>
      <mention mentionpersonId="{39EF3575-E61E-4EAC-8B44-2A0EAF2958C9}" mentionId="{45F5CA4E-7395-458C-8AB7-FA2CE1E33433}" startIndex="0" length="16"/>
    </mentions>
  </threadedComment>
  <threadedComment ref="R94" dT="2026-01-05T15:55:28.40" personId="{6C38AC3A-7BEE-4372-B62F-C4672F29B693}" id="{95B9C21D-EB3A-46D1-ABDC-39AB7E04C1F1}">
    <text>@David Ewing @Stephen Hubbard what happened this sprint? Were holidays/PTO not accounted for during planning?</text>
    <mentions>
      <mention mentionpersonId="{58068631-2141-4FE1-B759-96966DDF18FE}" mentionId="{50A9FEDB-4EB8-4229-9148-41FBC0B1244C}" startIndex="0" length="12"/>
      <mention mentionpersonId="{6F434760-1174-45E3-A6E6-3BE80FE166BE}" mentionId="{2CE5856E-E405-42CF-AE25-D2D80B10326D}" startIndex="13" length="16"/>
    </mentions>
  </threadedComment>
  <threadedComment ref="R94" dT="2026-01-05T17:40:52.05" personId="{23F49498-1FE4-4E03-952B-9D8793AEA56F}" id="{5CCC3459-7568-40B4-82DC-65AAB585B456}" parentId="{95B9C21D-EB3A-46D1-ABDC-39AB7E04C1F1}">
    <text>KrakenD is causing issues with Tin.  The team had to resolve the issues and the result was the current work couldn’t be completed on schedule.</text>
  </threadedComment>
  <threadedComment ref="T95" dT="2026-02-02T14:02:35.97" personId="{6C38AC3A-7BEE-4372-B62F-C4672F29B693}" id="{0BE3E88B-AF7D-4EB1-A493-B2269AE547AF}">
    <text>@David Ewing was this reduction due to any specific action taken?</text>
    <mentions>
      <mention mentionpersonId="{58068631-2141-4FE1-B759-96966DDF18FE}" mentionId="{2A942988-6F38-4A52-B8CD-91D65674A86D}" startIndex="0" length="12"/>
    </mentions>
  </threadedComment>
  <threadedComment ref="T95" dT="2026-02-02T15:45:28.40" personId="{23F49498-1FE4-4E03-952B-9D8793AEA56F}" id="{D4763245-6642-4444-A127-AF3A6460526B}" parentId="{0BE3E88B-AF7D-4EB1-A493-B2269AE547AF}">
    <text>We won the battle with KrackenD.  Nothing specific, just following best practices, smaller ticket size and proper sprint planning.</text>
  </threadedComment>
  <threadedComment ref="M103" dT="2025-10-29T13:13:37.80" personId="{BB6CAC19-7927-284F-A182-1DF26B88A34D}" id="{7B9AB748-8D2F-4DEA-81D4-04AF6A934EE0}">
    <text xml:space="preserve">@David Ewing @Stephen Hubbard I noticed for the last 2 sprints we haven't resolved any PDRs, I am wondering when we plan to tackle the PDR Bugs that have been identified. </text>
    <mentions>
      <mention mentionpersonId="{58068631-2141-4FE1-B759-96966DDF18FE}" mentionId="{A07598E0-73F9-4023-97CC-CA6010F68354}" startIndex="0" length="12"/>
      <mention mentionpersonId="{6F434760-1174-45E3-A6E6-3BE80FE166BE}" mentionId="{103B7AE7-29A4-4FAB-BD2C-8E0AA8C4FD40}" startIndex="13" length="16"/>
    </mentions>
  </threadedComment>
  <threadedComment ref="M103" dT="2025-10-29T13:47:16.29" personId="{23F49498-1FE4-4E03-952B-9D8793AEA56F}" id="{C2FB12A3-DE06-429F-95D7-63540B734474}" parentId="{7B9AB748-8D2F-4DEA-81D4-04AF6A934EE0}">
    <text>Our plan is to address PDRs in December.  We are focusing on getting Custom Questions and Universal Search done first.</text>
  </threadedComment>
  <threadedComment ref="N117" dT="2025-11-04T22:56:09.85" personId="{11AEECDB-E7A0-40BA-9F95-31F1DD8DAE83}" id="{494CE377-DA14-4CFC-9C95-A553A7B8C750}" done="1">
    <text xml:space="preserve">Knowingly started this sprint with a few large stories that could have been broken down into smaller chunks as they were the last bit of one of our epics to complete, so expected some cary over there, some citrus upgrade story friction, as well as some unexpected PTO.  Citrus upgrade will be taken over by R&amp;R team as there's too much friction currently.  I expect this to bounce back next sprint. </text>
  </threadedComment>
  <threadedComment ref="O117" dT="2025-11-19T19:08:06.64" personId="{11AEECDB-E7A0-40BA-9F95-31F1DD8DAE83}" id="{86BEFC1A-E94B-481C-9037-0F365904AE20}" done="1">
    <text>Sprint was started not taking into account the week of the category onsite.</text>
  </threadedComment>
  <threadedComment ref="R117" dT="2026-01-05T19:00:20.89" personId="{6C38AC3A-7BEE-4372-B62F-C4672F29B693}" id="{53766872-3629-4122-A605-A708398FE90F}">
    <text>@Austin Hunter what happened this sprint? Were holidays/PTO not accounted for during planning?</text>
    <mentions>
      <mention mentionpersonId="{96EC21E8-D7CC-454F-B5E0-5E0D254231DB}" mentionId="{23971D00-1D59-41BF-A4E5-A535ABBF8A39}" startIndex="0" length="14"/>
    </mentions>
  </threadedComment>
  <threadedComment ref="R117" dT="2026-01-05T19:50:57.63" personId="{4D4FF0A7-41A2-4335-8BB3-64419C4831E7}" id="{46C6B3E9-5605-47E3-A97B-9B4DF03CAF75}" parentId="{53766872-3629-4122-A605-A708398FE90F}">
    <text xml:space="preserve">The main reason for this was that our test engineer was OOO the entire sprint and we didn't account for all the testing requirements that became the devs responsibilities. This is something I addressed with the team and will be reviewing during retro to ensure this doesn't happen again when we are short staffed. </text>
  </threadedComment>
  <threadedComment ref="T117" dT="2026-01-28T15:35:44.70" personId="{4D4FF0A7-41A2-4335-8BB3-64419C4831E7}" id="{BB16A7BA-8BC0-438A-A54A-44C689DD69D3}" done="1">
    <text>Made a mistake of bringing in two large tickets (one that was blocking the other). I corrected this for the current sprint</text>
  </threadedComment>
  <threadedComment ref="T117" dT="2026-01-28T18:17:59.28" personId="{4D4FF0A7-41A2-4335-8BB3-64419C4831E7}" id="{871A3EBE-B27C-4F6E-9323-1AEBBECDDA99}" parentId="{BB16A7BA-8BC0-438A-A54A-44C689DD69D3}">
    <text xml:space="preserve">Just to add to this, we've also experienced a sharp increase of unplanned work/support for the MMP projects that we've taken ownership of. </text>
  </threadedComment>
  <threadedComment ref="T117" dT="2026-02-02T14:03:53.29" personId="{6C38AC3A-7BEE-4372-B62F-C4672F29B693}" id="{7DC02100-CCA0-438D-ABD7-590906B4717E}" parentId="{BB16A7BA-8BC0-438A-A54A-44C689DD69D3}">
    <text>Thanks @Austin Hunter. Do you expect the unplanned work for MMP to die down this sprint? Or at least be more predictable for sprint planning purposes?</text>
    <mentions>
      <mention mentionpersonId="{96EC21E8-D7CC-454F-B5E0-5E0D254231DB}" mentionId="{D7EB5E84-1901-42F1-AFDF-897FF0090934}" startIndex="7" length="14"/>
    </mentions>
  </threadedComment>
  <threadedComment ref="T117" dT="2026-02-02T15:54:10.57" personId="{4D4FF0A7-41A2-4335-8BB3-64419C4831E7}" id="{FC34FB43-EF0A-471E-9B14-4FEFFEFE4FAA}" parentId="{BB16A7BA-8BC0-438A-A54A-44C689DD69D3}">
    <text xml:space="preserve">Yes, I've already seen it settle down a good amount this sprint. I think it was just the initial ramp up period of getting access/dev set ups and the first release out. </text>
  </threadedComment>
  <threadedComment ref="W117" dT="2026-03-11T21:36:33.40" personId="{4D4FF0A7-41A2-4335-8BB3-64419C4831E7}" id="{1827FD37-CD01-4BD1-AB53-AC8A55B1970B}">
    <text>This drop in predictability is partially the result of 2 tickets being blocked by work needed outside of our team. Using a spike before committing to loosely defined work would have solved this. I also made the mistake of bringing in 2 large stories where one relied on the completion of the other (the blocker took longer than expected).</text>
  </threadedComment>
  <threadedComment ref="W117" dT="2026-03-12T15:56:18.23" personId="{4D4FF0A7-41A2-4335-8BB3-64419C4831E7}" id="{40642DFD-60BF-4BF1-95CF-3DC3BA451C82}" parentId="{1827FD37-CD01-4BD1-AB53-AC8A55B1970B}">
    <text>I did some more digging into this. We have a process that requires manual intervention when a company terminates (we manually send money from the company wallet back to their accounts). These manual work items interrupt our flow and require immediate attention. This is something we've been working to automate, and it should be in production soon.</text>
  </threadedComment>
  <threadedComment ref="T137" dT="2026-02-02T14:05:47.47" personId="{6C38AC3A-7BEE-4372-B62F-C4672F29B693}" id="{70758138-3D92-47A8-A332-7E5CDD0DC11C}" done="1">
    <text>@Austin Hunter is this just a function of fewer devs with you and Ron out of the mix, or is it related to ramping up on MMP? Or? I guess the main question is whether you expect this to go back up next sprint on its own or does it require some action?</text>
    <mentions>
      <mention mentionpersonId="{96EC21E8-D7CC-454F-B5E0-5E0D254231DB}" mentionId="{01DA5F92-4058-48AD-B0D9-140FAF17C8F5}" startIndex="0" length="14"/>
    </mentions>
  </threadedComment>
  <threadedComment ref="T137" dT="2026-02-02T17:08:26.58" personId="{4D4FF0A7-41A2-4335-8BB3-64419C4831E7}" id="{69C349B5-BFF2-4875-BBAF-4E24AD1060F7}" parentId="{70758138-3D92-47A8-A332-7E5CDD0DC11C}">
    <text xml:space="preserve">I think it's a combination of both. We also have been working through a larger amount of spike work which has resulted in less PR's to review. I do expect this to go back up, but I'll keep a close eye on this as we head into more "normal" sprints </text>
  </threadedComment>
  <threadedComment ref="N140" dT="2025-10-24T17:29:09.23" personId="{2925F371-FC45-488A-8705-C3FFA4C5F504}" id="{E72E5BED-B835-46D7-BCFB-E7CF399F9BE9}" done="1">
    <text>There's a problem with the sprint dates between that sprint and the new one. I'll find out how to fix that.</text>
  </threadedComment>
  <threadedComment ref="N140" dT="2025-10-27T18:55:16.79" personId="{BB6CAC19-7927-284F-A182-1DF26B88A34D}" id="{B834537B-7B49-BA49-A8AC-4A0DA0342AA2}" parentId="{E72E5BED-B835-46D7-BCFB-E7CF399F9BE9}">
    <text>@Jose Basilio @Bob Baird let me know when this is updated please</text>
    <mentions>
      <mention mentionpersonId="{DBE0EB51-5AF4-A04E-B010-32FB47087FCD}" mentionId="{D218FD52-347E-E948-82DB-58313B2EA933}" startIndex="0" length="13"/>
      <mention mentionpersonId="{02298318-B8BA-A340-9A4A-DDFBFCCE78CF}" mentionId="{D82FD06F-3052-A146-BB04-4CF0A16EEA1E}" startIndex="14" length="10"/>
    </mentions>
  </threadedComment>
  <threadedComment ref="N140" dT="2025-10-28T04:20:39.26" personId="{2925F371-FC45-488A-8705-C3FFA4C5F504}" id="{E4C11950-8DF8-45F1-9866-A6423F930EDE}" parentId="{E72E5BED-B835-46D7-BCFB-E7CF399F9BE9}">
    <text>The numbers were not calculated correctly because the sprint was started earlier by mistake and showed 4 tickets carried over/not completed. Bob helped me calculate it manually. We should be good for the next sprint.</text>
  </threadedComment>
  <threadedComment ref="N140" dT="2025-10-29T13:03:55.05" personId="{BB6CAC19-7927-284F-A182-1DF26B88A34D}" id="{FE3F55DF-2823-4897-A6FF-690EA1E0406F}" parentId="{E72E5BED-B835-46D7-BCFB-E7CF399F9BE9}">
    <text xml:space="preserve">@Jose Basilio @Bob Baird Lets make sure the Action Plan for Recruiting includes talking points for improving this going forward. </text>
    <mentions>
      <mention mentionpersonId="{DBE0EB51-5AF4-A04E-B010-32FB47087FCD}" mentionId="{49DE5E5C-644E-4E6F-A1FB-C6B65DF30665}" startIndex="0" length="13"/>
      <mention mentionpersonId="{02298318-B8BA-A340-9A4A-DDFBFCCE78CF}" mentionId="{F003BA7C-E922-4563-B402-5E918AE76CA7}" startIndex="14" length="10"/>
    </mentions>
  </threadedComment>
  <threadedComment ref="T140" dT="2026-02-02T14:16:40.05" personId="{6C38AC3A-7BEE-4372-B62F-C4672F29B693}" id="{ED0DFA60-7E5F-4FE9-9E3F-27E5DFE06AE1}">
    <text>@Cory Miller @Jose Basilio  any driving factor here?</text>
    <mentions>
      <mention mentionpersonId="{1C604ABE-C139-4F0A-AE88-8D4A182AF6FE}" mentionId="{F4FA576A-7FAF-473E-8EF2-AD31814C5294}" startIndex="0" length="12"/>
      <mention mentionpersonId="{DBE0EB51-5AF4-A04E-B010-32FB47087FCD}" mentionId="{DDF9785B-6472-4004-880E-1BE7CEB394F1}" startIndex="13" length="13"/>
    </mentions>
  </threadedComment>
  <threadedComment ref="T140" dT="2026-02-02T14:21:12.73" personId="{0563F14E-ABB4-4234-9A4B-5903F181C84B}" id="{D1E73795-4B85-45BB-8B43-F15262F3D562}" parentId="{ED0DFA60-7E5F-4FE9-9E3F-27E5DFE06AE1}">
    <text>We had some PDR work roll over to next sprint due to some findings + unplanned work that came in that disrupted a bit.  There isn't very much on this board so a single ticket or two impacts this metric heavily.</text>
  </threadedComment>
  <threadedComment ref="X140" dT="2026-04-01T20:56:53.62" personId="{2925F371-FC45-488A-8705-C3FFA4C5F504}" id="{83A1CAEB-A3F1-42A4-9A01-48DDA4C9FECF}">
    <text xml:space="preserve">Predictability went down as we were attacking bug tickets dynamically during the sprint to meet our Q3 goal.
</text>
  </threadedComment>
  <threadedComment ref="T141" dT="2026-02-02T14:17:12.30" personId="{6C38AC3A-7BEE-4372-B62F-C4672F29B693}" id="{8E00BA08-8B6B-4A44-9889-21039BD31BB5}">
    <text>@Cory Miller @Jose Basilio anything action-worthy here?</text>
    <mentions>
      <mention mentionpersonId="{1C604ABE-C139-4F0A-AE88-8D4A182AF6FE}" mentionId="{9B6F377E-806E-4FF0-9EEE-02530E4F1110}" startIndex="0" length="12"/>
      <mention mentionpersonId="{DBE0EB51-5AF4-A04E-B010-32FB47087FCD}" mentionId="{291BFD88-8231-4D73-83C6-6AD59B734B0D}" startIndex="13" length="13"/>
    </mentions>
  </threadedComment>
  <threadedComment ref="T141" dT="2026-02-02T14:23:25.52" personId="{0563F14E-ABB4-4234-9A4B-5903F181C84B}" id="{F5C03CC3-7EAE-423F-A98E-A5C7BAAE13A9}" parentId="{8E00BA08-8B6B-4A44-9889-21039BD31BB5}">
    <text>Not really, the PDF debt work on this board is on track.  The PDR tickets (3) were rolled over and likely impacted this.  TBH we don't pay too much attention to this metric and I'm not really sure what we could do to impact this on this board since it is primary board for disruptions/unplanned work.</text>
  </threadedComment>
  <threadedComment ref="R148" dT="2026-01-05T19:06:14.53" personId="{6C38AC3A-7BEE-4372-B62F-C4672F29B693}" id="{69851D30-4677-4D74-9510-34BAAF4238F3}" done="1">
    <text>@Cory Miller @Jose Basilio what's driving this increase in PDRs?</text>
    <mentions>
      <mention mentionpersonId="{1C604ABE-C139-4F0A-AE88-8D4A182AF6FE}" mentionId="{D4679D14-891A-41CF-8EBC-97EC72E262EA}" startIndex="0" length="12"/>
      <mention mentionpersonId="{DBE0EB51-5AF4-A04E-B010-32FB47087FCD}" mentionId="{5A3D6D04-3133-409A-B5D8-E5A2AC4F4A44}" startIndex="13" length="13"/>
    </mentions>
  </threadedComment>
  <threadedComment ref="R148" dT="2026-01-05T21:59:07.72" personId="{2925F371-FC45-488A-8705-C3FFA4C5F504}" id="{A12C13A5-503C-42A0-B75F-2F3E454E622C}" parentId="{69851D30-4677-4D74-9510-34BAAF4238F3}">
    <text>Jessica has been triaging PDRs and creating tickets for the team to tackle the backlog in Salesforce. We will probably see this number climb as well as the number of items resolved as we clear the backlog.</text>
  </threadedComment>
  <threadedComment ref="N163" dT="2025-10-29T13:04:53.99" personId="{BB6CAC19-7927-284F-A182-1DF26B88A34D}" id="{393F268D-F355-4E32-8F1E-104E3CA9BB55}" done="1">
    <text>@Cory Miller @Bob Baird  Interested in how and what was done to get to 100% sprint predictability.  The previous 3 sprints were trending down to 20%</text>
    <mentions>
      <mention mentionpersonId="{1C604ABE-C139-4F0A-AE88-8D4A182AF6FE}" mentionId="{F458A81A-0BB0-4F38-B6F1-558C130F1781}" startIndex="0" length="12"/>
      <mention mentionpersonId="{02298318-B8BA-A340-9A4A-DDFBFCCE78CF}" mentionId="{400B807F-ACC8-474D-966A-DD24B4218FF0}" startIndex="13" length="10"/>
    </mentions>
  </threadedComment>
  <threadedComment ref="N163" dT="2025-10-29T14:27:17.56" personId="{0563F14E-ABB4-4234-9A4B-5903F181C84B}" id="{05DA412C-5027-46E4-A5E6-00B2C9D950D9}" parentId="{393F268D-F355-4E32-8F1E-104E3CA9BB55}">
    <text>@Scott Jucovics we had quite a bit of rollover work from the prior sprint w/20% so we only planned what we felt we could get done.  We ended up doing that and some more, hence the 100%.  The metric only counts what you have in the sprint prior to 'STARTING', which was only that rollover work.  The stuff we pulled in is counted as bonus points, and does not count against the metric if it doesn't happen to get done.  Hope this helps.</text>
    <mentions>
      <mention mentionpersonId="{E97B24DE-67F2-450D-B522-7AB8D0E20F23}" mentionId="{D7CFADDE-53CB-4CB1-9A8D-0CB8B35C338B}" startIndex="0" length="15"/>
    </mentions>
  </threadedComment>
  <threadedComment ref="N163" dT="2025-10-29T18:50:50.06" personId="{BB6CAC19-7927-284F-A182-1DF26B88A34D}" id="{712E12D1-B3E8-4118-8C6F-8EF5EE342BB9}" parentId="{393F268D-F355-4E32-8F1E-104E3CA9BB55}">
    <text>Got it.  How many stories were part of the 20% that rolled over?  Can you give me the link here to the Jira sprint? thanks</text>
  </threadedComment>
  <threadedComment ref="N163" dT="2025-11-03T15:50:33.23" personId="{6C38AC3A-7BEE-4372-B62F-C4672F29B693}" id="{F7E645F9-B6BC-4059-A88D-F128719386E3}" parentId="{393F268D-F355-4E32-8F1E-104E3CA9BB55}">
    <text>@Cory Miller just a ping on Scott's request</text>
    <mentions>
      <mention mentionpersonId="{1C604ABE-C139-4F0A-AE88-8D4A182AF6FE}" mentionId="{CE57D7E7-CA14-4407-ACF8-0988C640A419}" startIndex="0" length="12"/>
    </mentions>
  </threadedComment>
  <threadedComment ref="N163" dT="2025-11-04T14:03:12.24" personId="{0563F14E-ABB4-4234-9A4B-5903F181C84B}" id="{E2459DBC-7065-4B6E-82DA-48304C7747FB}" parentId="{393F268D-F355-4E32-8F1E-104E3CA9BB55}">
    <text>The rollover work was 100% of the planned work for the sprint with 100% predictability.  Then we pulled work in when devs wrapped that stuff up.   Which added to the velocity but not the predictability since it was pulled in work after we started the sprint.</text>
  </threadedComment>
  <threadedComment ref="Q163" dT="2026-01-05T19:01:15.94" personId="{6C38AC3A-7BEE-4372-B62F-C4672F29B693}" id="{77DC1597-496D-4C3E-91BF-3953823C3672}" done="1">
    <text>@Cory Miller @Jose Basilio what happened during this sprint for predictability to get so low?</text>
    <mentions>
      <mention mentionpersonId="{1C604ABE-C139-4F0A-AE88-8D4A182AF6FE}" mentionId="{25C1F3D8-8304-44B3-85AA-906F456C8FAE}" startIndex="0" length="12"/>
      <mention mentionpersonId="{DBE0EB51-5AF4-A04E-B010-32FB47087FCD}" mentionId="{94271528-827E-4326-91E5-06D42C306BB9}" startIndex="13" length="13"/>
    </mentions>
  </threadedComment>
  <threadedComment ref="Q163" dT="2026-01-05T19:38:20.17" personId="{0563F14E-ABB4-4234-9A4B-5903F181C84B}" id="{0419A353-A53C-47BA-B263-C2F27E11B994}" parentId="{77DC1597-496D-4C3E-91BF-3953823C3672}">
    <text xml:space="preserve">We added items to the sprint without taking out points so we had higher rollover than anticipated.  </text>
  </threadedComment>
  <threadedComment ref="U163" dT="2026-02-10T15:02:26.78" personId="{0563F14E-ABB4-4234-9A4B-5903F181C84B}" id="{6C9A88D3-1502-49B3-9EE4-F5BAFC59DE74}">
    <text>Not really sure why our predictability is low.  We committed to 64 points, we completed 73 points.  THere were tickets we didn't complete that the sprint started with that had findings, and rolled over.  This is likely the cause.</text>
  </threadedComment>
  <threadedComment ref="R175" dT="2026-01-05T19:02:39.96" personId="{6C38AC3A-7BEE-4372-B62F-C4672F29B693}" id="{90A0140A-4E53-467A-A38D-C776CC20A3AB}" done="1">
    <text>@Cory Miller @Jose Basilio is this because the team is now "Innovation" only? Do you expect to ever see this &gt; 0?</text>
    <mentions>
      <mention mentionpersonId="{1C604ABE-C139-4F0A-AE88-8D4A182AF6FE}" mentionId="{40E658B0-ED5E-4E40-93FA-D4C5488EEC41}" startIndex="0" length="12"/>
      <mention mentionpersonId="{DBE0EB51-5AF4-A04E-B010-32FB47087FCD}" mentionId="{2790DD27-B5C9-40E3-B38E-37F293AE01A6}" startIndex="13" length="13"/>
    </mentions>
  </threadedComment>
  <threadedComment ref="R175" dT="2026-01-05T21:42:22.64" personId="{0563F14E-ABB4-4234-9A4B-5903F181C84B}" id="{0A44B494-43B4-4F4E-BCEA-F4DD8EE7E84C}" parentId="{90A0140A-4E53-467A-A38D-C776CC20A3AB}">
    <text>The idea is that this team will work roadmap items only unless a scenario pops up where we need to deviate.  This metric could help tell that story.  Unplanned work will ideally be as close to 0 as possible too.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paylocity.atlassian.net/jira/dashboards/12040" TargetMode="External"/><Relationship Id="rId2" Type="http://schemas.openxmlformats.org/officeDocument/2006/relationships/hyperlink" Target="https://paylocity.atlassian.net/jira/dashboards/11802" TargetMode="External"/><Relationship Id="rId1" Type="http://schemas.openxmlformats.org/officeDocument/2006/relationships/hyperlink" Target="https://paylocity.atlassian.net/wiki/x/0AAfZQ" TargetMode="External"/><Relationship Id="rId4" Type="http://schemas.openxmlformats.org/officeDocument/2006/relationships/hyperlink" Target="https://paylocity.atlassian.net/jira/dashboards/14633"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aylocity.atlassian.net/jira/dashboards/12040" TargetMode="Externa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3EAF-4A82-C54D-A9F9-570A6941C7C7}">
  <dimension ref="A3:H4"/>
  <sheetViews>
    <sheetView workbookViewId="0">
      <selection activeCell="A3" sqref="A3:H4"/>
    </sheetView>
  </sheetViews>
  <sheetFormatPr defaultColWidth="11" defaultRowHeight="15.75" x14ac:dyDescent="0.25"/>
  <cols>
    <col min="1" max="1" width="11" bestFit="1" customWidth="1"/>
    <col min="2" max="2" width="14.375" bestFit="1" customWidth="1"/>
    <col min="3" max="3" width="17.5" bestFit="1" customWidth="1"/>
    <col min="4" max="8" width="11" bestFit="1" customWidth="1"/>
  </cols>
  <sheetData>
    <row r="3" spans="1:8" x14ac:dyDescent="0.25">
      <c r="A3" t="s">
        <v>0</v>
      </c>
      <c r="B3" t="s">
        <v>1</v>
      </c>
      <c r="C3" t="s">
        <v>2</v>
      </c>
      <c r="D3" t="s">
        <v>3</v>
      </c>
      <c r="E3" t="s">
        <v>4</v>
      </c>
      <c r="F3" t="s">
        <v>5</v>
      </c>
      <c r="G3" t="s">
        <v>6</v>
      </c>
      <c r="H3" t="s">
        <v>7</v>
      </c>
    </row>
    <row r="4" spans="1:8" x14ac:dyDescent="0.25">
      <c r="A4" t="s">
        <v>8</v>
      </c>
      <c r="B4" t="s">
        <v>9</v>
      </c>
      <c r="C4" t="s">
        <v>10</v>
      </c>
      <c r="D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9139-82AC-F443-AFE4-D2E4C3D57824}">
  <dimension ref="A3:C20"/>
  <sheetViews>
    <sheetView workbookViewId="0">
      <selection activeCell="A4" sqref="A4"/>
    </sheetView>
  </sheetViews>
  <sheetFormatPr defaultColWidth="11" defaultRowHeight="15.75" x14ac:dyDescent="0.25"/>
  <cols>
    <col min="1" max="1" width="22" bestFit="1" customWidth="1"/>
    <col min="2" max="2" width="16" bestFit="1" customWidth="1"/>
    <col min="3" max="3" width="7" bestFit="1" customWidth="1"/>
    <col min="4" max="4" width="10.5" bestFit="1" customWidth="1"/>
    <col min="5" max="5" width="11.375" bestFit="1" customWidth="1"/>
    <col min="6" max="6" width="10.5" bestFit="1" customWidth="1"/>
    <col min="7" max="7" width="20" bestFit="1" customWidth="1"/>
    <col min="8" max="8" width="21.5" bestFit="1" customWidth="1"/>
    <col min="9" max="9" width="14.5" bestFit="1" customWidth="1"/>
    <col min="10" max="10" width="20.375" bestFit="1" customWidth="1"/>
    <col min="11" max="11" width="20" bestFit="1" customWidth="1"/>
    <col min="12" max="12" width="11.375" bestFit="1" customWidth="1"/>
    <col min="13" max="13" width="21.5" bestFit="1" customWidth="1"/>
    <col min="14" max="14" width="20" bestFit="1" customWidth="1"/>
    <col min="15" max="15" width="13" bestFit="1" customWidth="1"/>
    <col min="16" max="16" width="17" bestFit="1" customWidth="1"/>
    <col min="17" max="17" width="11" bestFit="1" customWidth="1"/>
    <col min="18" max="18" width="16.875" bestFit="1" customWidth="1"/>
    <col min="19" max="19" width="17.875" bestFit="1" customWidth="1"/>
    <col min="20" max="20" width="16" bestFit="1" customWidth="1"/>
    <col min="21" max="21" width="14.375" bestFit="1" customWidth="1"/>
    <col min="22" max="22" width="11.375" bestFit="1" customWidth="1"/>
    <col min="23" max="23" width="8.5" bestFit="1" customWidth="1"/>
    <col min="24" max="25" width="2.5" bestFit="1" customWidth="1"/>
    <col min="26" max="26" width="2.375" bestFit="1" customWidth="1"/>
    <col min="27" max="27" width="8.5" bestFit="1" customWidth="1"/>
    <col min="28" max="30" width="5.375" bestFit="1" customWidth="1"/>
    <col min="31" max="31" width="2" bestFit="1" customWidth="1"/>
    <col min="32" max="32" width="8.5" bestFit="1" customWidth="1"/>
    <col min="33" max="33" width="5.5" bestFit="1" customWidth="1"/>
    <col min="34" max="34" width="11.375" bestFit="1" customWidth="1"/>
    <col min="35" max="35" width="10.5" bestFit="1" customWidth="1"/>
    <col min="36" max="38" width="8.5" bestFit="1" customWidth="1"/>
    <col min="39" max="40" width="11.375" bestFit="1" customWidth="1"/>
    <col min="41" max="41" width="10.5" bestFit="1" customWidth="1"/>
  </cols>
  <sheetData>
    <row r="3" spans="1:3" x14ac:dyDescent="0.25">
      <c r="A3" s="3"/>
      <c r="B3" s="4"/>
      <c r="C3" s="5"/>
    </row>
    <row r="4" spans="1:3" x14ac:dyDescent="0.25">
      <c r="A4" s="6"/>
      <c r="B4" s="7"/>
      <c r="C4" s="8"/>
    </row>
    <row r="5" spans="1:3" x14ac:dyDescent="0.25">
      <c r="A5" s="6"/>
      <c r="B5" s="7"/>
      <c r="C5" s="8"/>
    </row>
    <row r="6" spans="1:3" x14ac:dyDescent="0.25">
      <c r="A6" s="6"/>
      <c r="B6" s="7"/>
      <c r="C6" s="8"/>
    </row>
    <row r="7" spans="1:3" x14ac:dyDescent="0.25">
      <c r="A7" s="6"/>
      <c r="B7" s="7"/>
      <c r="C7" s="8"/>
    </row>
    <row r="8" spans="1:3" x14ac:dyDescent="0.25">
      <c r="A8" s="6"/>
      <c r="B8" s="7"/>
      <c r="C8" s="8"/>
    </row>
    <row r="9" spans="1:3" x14ac:dyDescent="0.25">
      <c r="A9" s="6"/>
      <c r="B9" s="7"/>
      <c r="C9" s="8"/>
    </row>
    <row r="10" spans="1:3" x14ac:dyDescent="0.25">
      <c r="A10" s="6"/>
      <c r="B10" s="7"/>
      <c r="C10" s="8"/>
    </row>
    <row r="11" spans="1:3" x14ac:dyDescent="0.25">
      <c r="A11" s="6"/>
      <c r="B11" s="7"/>
      <c r="C11" s="8"/>
    </row>
    <row r="12" spans="1:3" x14ac:dyDescent="0.25">
      <c r="A12" s="6"/>
      <c r="B12" s="7"/>
      <c r="C12" s="8"/>
    </row>
    <row r="13" spans="1:3" x14ac:dyDescent="0.25">
      <c r="A13" s="6"/>
      <c r="B13" s="7"/>
      <c r="C13" s="8"/>
    </row>
    <row r="14" spans="1:3" x14ac:dyDescent="0.25">
      <c r="A14" s="6"/>
      <c r="B14" s="7"/>
      <c r="C14" s="8"/>
    </row>
    <row r="15" spans="1:3" x14ac:dyDescent="0.25">
      <c r="A15" s="6"/>
      <c r="B15" s="7"/>
      <c r="C15" s="8"/>
    </row>
    <row r="16" spans="1:3" x14ac:dyDescent="0.25">
      <c r="A16" s="6"/>
      <c r="B16" s="7"/>
      <c r="C16" s="8"/>
    </row>
    <row r="17" spans="1:3" x14ac:dyDescent="0.25">
      <c r="A17" s="6"/>
      <c r="B17" s="7"/>
      <c r="C17" s="8"/>
    </row>
    <row r="18" spans="1:3" x14ac:dyDescent="0.25">
      <c r="A18" s="6"/>
      <c r="B18" s="7"/>
      <c r="C18" s="8"/>
    </row>
    <row r="19" spans="1:3" x14ac:dyDescent="0.25">
      <c r="A19" s="6"/>
      <c r="B19" s="7"/>
      <c r="C19" s="8"/>
    </row>
    <row r="20" spans="1:3" x14ac:dyDescent="0.25">
      <c r="A20" s="9"/>
      <c r="B20" s="10"/>
      <c r="C20"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7E64A-8333-3C44-8F8C-3D59FE5FB12E}">
  <dimension ref="A1:C21"/>
  <sheetViews>
    <sheetView topLeftCell="A7" zoomScale="125" zoomScaleNormal="180" workbookViewId="0">
      <selection activeCell="B18" sqref="B18"/>
    </sheetView>
  </sheetViews>
  <sheetFormatPr defaultColWidth="11" defaultRowHeight="15.75" x14ac:dyDescent="0.25"/>
  <cols>
    <col min="2" max="2" width="51.125" customWidth="1"/>
  </cols>
  <sheetData>
    <row r="1" spans="1:3" x14ac:dyDescent="0.25">
      <c r="A1" t="s">
        <v>12</v>
      </c>
    </row>
    <row r="2" spans="1:3" x14ac:dyDescent="0.25">
      <c r="B2" s="22"/>
      <c r="C2" t="s">
        <v>13</v>
      </c>
    </row>
    <row r="3" spans="1:3" x14ac:dyDescent="0.25">
      <c r="B3" s="15"/>
      <c r="C3" t="s">
        <v>14</v>
      </c>
    </row>
    <row r="4" spans="1:3" x14ac:dyDescent="0.25">
      <c r="B4" s="20"/>
      <c r="C4" t="s">
        <v>15</v>
      </c>
    </row>
    <row r="6" spans="1:3" x14ac:dyDescent="0.25">
      <c r="A6" t="s">
        <v>16</v>
      </c>
    </row>
    <row r="7" spans="1:3" x14ac:dyDescent="0.25">
      <c r="B7" t="s">
        <v>17</v>
      </c>
    </row>
    <row r="8" spans="1:3" ht="77.25" customHeight="1" x14ac:dyDescent="0.25">
      <c r="B8" s="26" t="s">
        <v>18</v>
      </c>
    </row>
    <row r="9" spans="1:3" x14ac:dyDescent="0.25">
      <c r="B9" t="s">
        <v>19</v>
      </c>
    </row>
    <row r="10" spans="1:3" x14ac:dyDescent="0.25">
      <c r="B10" s="14" t="s">
        <v>20</v>
      </c>
    </row>
    <row r="11" spans="1:3" x14ac:dyDescent="0.25">
      <c r="B11" s="12" t="s">
        <v>21</v>
      </c>
    </row>
    <row r="12" spans="1:3" x14ac:dyDescent="0.25">
      <c r="B12" s="14" t="s">
        <v>22</v>
      </c>
    </row>
    <row r="13" spans="1:3" x14ac:dyDescent="0.25">
      <c r="B13" t="s">
        <v>23</v>
      </c>
    </row>
    <row r="15" spans="1:3" x14ac:dyDescent="0.25">
      <c r="A15" t="s">
        <v>24</v>
      </c>
    </row>
    <row r="16" spans="1:3" x14ac:dyDescent="0.25">
      <c r="B16" s="21" t="s">
        <v>25</v>
      </c>
    </row>
    <row r="17" spans="2:2" x14ac:dyDescent="0.25">
      <c r="B17" s="21" t="s">
        <v>26</v>
      </c>
    </row>
    <row r="18" spans="2:2" x14ac:dyDescent="0.25">
      <c r="B18" s="21" t="s">
        <v>27</v>
      </c>
    </row>
    <row r="19" spans="2:2" x14ac:dyDescent="0.25">
      <c r="B19" s="14" t="s">
        <v>28</v>
      </c>
    </row>
    <row r="20" spans="2:2" x14ac:dyDescent="0.25">
      <c r="B20" s="21" t="s">
        <v>29</v>
      </c>
    </row>
    <row r="21" spans="2:2" x14ac:dyDescent="0.25">
      <c r="B21" s="14" t="s">
        <v>28</v>
      </c>
    </row>
  </sheetData>
  <hyperlinks>
    <hyperlink ref="B16" r:id="rId1" xr:uid="{6E70886C-3A55-425C-9D1B-35610B4019DA}"/>
    <hyperlink ref="B17" r:id="rId2" xr:uid="{3D360B8F-126A-4129-9895-6D5140782485}"/>
    <hyperlink ref="B20" r:id="rId3" xr:uid="{68DEE08F-7DC0-41C5-AE9D-0907B001ADAD}"/>
    <hyperlink ref="B18" r:id="rId4" display="FY2025 H2 Epic Level Commitment % Dashboard" xr:uid="{05618A9D-D863-4AEB-8FF8-D5BD548825F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5970-977C-9948-A906-53AC3C2A8F9D}">
  <dimension ref="A1:Q34"/>
  <sheetViews>
    <sheetView topLeftCell="A17" zoomScaleNormal="100" workbookViewId="0">
      <pane xSplit="4" topLeftCell="J1" activePane="topRight" state="frozen"/>
      <selection activeCell="A2" sqref="A2"/>
      <selection pane="topRight" activeCell="P14" sqref="P14"/>
    </sheetView>
  </sheetViews>
  <sheetFormatPr defaultColWidth="11" defaultRowHeight="15.75" x14ac:dyDescent="0.25"/>
  <cols>
    <col min="1" max="1" width="24.125" bestFit="1" customWidth="1"/>
    <col min="2" max="2" width="22.5" bestFit="1" customWidth="1"/>
    <col min="3" max="3" width="9" customWidth="1"/>
    <col min="4" max="4" width="30" customWidth="1"/>
    <col min="5" max="5" width="19.875" customWidth="1"/>
    <col min="6" max="6" width="15.375" style="27" customWidth="1"/>
    <col min="7" max="8" width="14.5" style="27" customWidth="1"/>
    <col min="9" max="9" width="13" style="27" customWidth="1"/>
    <col min="10" max="10" width="13.5" style="27" customWidth="1"/>
    <col min="11" max="11" width="12.875" style="27" customWidth="1"/>
    <col min="12" max="16" width="11" style="27"/>
    <col min="17" max="17" width="12" style="27" customWidth="1"/>
  </cols>
  <sheetData>
    <row r="1" spans="1:17" x14ac:dyDescent="0.25">
      <c r="A1" t="s">
        <v>30</v>
      </c>
      <c r="B1" s="19" t="s">
        <v>1</v>
      </c>
      <c r="C1" t="s">
        <v>31</v>
      </c>
      <c r="D1" s="19" t="s">
        <v>2</v>
      </c>
      <c r="E1" s="19" t="s">
        <v>32</v>
      </c>
      <c r="F1" s="30" t="s">
        <v>33</v>
      </c>
      <c r="G1" s="30" t="s">
        <v>34</v>
      </c>
      <c r="H1" s="30" t="s">
        <v>35</v>
      </c>
      <c r="I1" s="30" t="s">
        <v>36</v>
      </c>
      <c r="J1" s="30" t="s">
        <v>37</v>
      </c>
      <c r="K1" s="30" t="s">
        <v>38</v>
      </c>
      <c r="L1" s="30" t="s">
        <v>39</v>
      </c>
      <c r="M1" s="30" t="s">
        <v>40</v>
      </c>
      <c r="N1" s="30" t="s">
        <v>41</v>
      </c>
      <c r="O1" s="30" t="s">
        <v>42</v>
      </c>
      <c r="P1" s="30" t="s">
        <v>43</v>
      </c>
      <c r="Q1" s="30" t="s">
        <v>44</v>
      </c>
    </row>
    <row r="2" spans="1:17" x14ac:dyDescent="0.25">
      <c r="A2" s="1" t="s">
        <v>45</v>
      </c>
      <c r="B2" t="s">
        <v>46</v>
      </c>
      <c r="C2" t="s">
        <v>47</v>
      </c>
      <c r="D2" s="22" t="s">
        <v>48</v>
      </c>
      <c r="E2" s="2" t="s">
        <v>49</v>
      </c>
      <c r="F2" s="27">
        <v>0</v>
      </c>
      <c r="G2" s="27">
        <v>64.2</v>
      </c>
      <c r="H2" s="27">
        <v>38.700000000000003</v>
      </c>
      <c r="I2" s="27">
        <v>34.1</v>
      </c>
      <c r="J2" s="27">
        <v>62.4</v>
      </c>
      <c r="K2" s="27">
        <v>82.4</v>
      </c>
      <c r="L2" s="27">
        <v>84.5</v>
      </c>
      <c r="M2" s="27">
        <v>90.2</v>
      </c>
      <c r="N2" s="27">
        <v>86.3</v>
      </c>
    </row>
    <row r="3" spans="1:17" x14ac:dyDescent="0.25">
      <c r="A3" s="1" t="s">
        <v>45</v>
      </c>
      <c r="B3" t="s">
        <v>46</v>
      </c>
      <c r="C3" t="s">
        <v>47</v>
      </c>
      <c r="D3" s="22" t="s">
        <v>50</v>
      </c>
      <c r="E3" s="2" t="s">
        <v>51</v>
      </c>
      <c r="F3" s="27">
        <v>0.04</v>
      </c>
      <c r="G3" s="27">
        <v>4.72</v>
      </c>
      <c r="H3" s="27">
        <v>6.99</v>
      </c>
      <c r="I3" s="27">
        <v>4</v>
      </c>
      <c r="J3" s="27">
        <v>6.07</v>
      </c>
      <c r="K3" s="27">
        <v>5.13</v>
      </c>
      <c r="L3" s="27">
        <v>4.29</v>
      </c>
      <c r="M3" s="27">
        <v>2.94</v>
      </c>
      <c r="N3" s="27">
        <v>2.09</v>
      </c>
    </row>
    <row r="4" spans="1:17" x14ac:dyDescent="0.25">
      <c r="A4" s="1" t="s">
        <v>45</v>
      </c>
      <c r="B4" t="s">
        <v>46</v>
      </c>
      <c r="C4" t="s">
        <v>47</v>
      </c>
      <c r="D4" s="22" t="s">
        <v>52</v>
      </c>
      <c r="E4" s="2" t="s">
        <v>53</v>
      </c>
      <c r="F4" s="27">
        <v>49</v>
      </c>
      <c r="G4" s="27">
        <v>59</v>
      </c>
      <c r="H4" s="27">
        <v>39</v>
      </c>
      <c r="I4" s="27">
        <v>18</v>
      </c>
      <c r="J4" s="27">
        <v>25</v>
      </c>
      <c r="K4" s="27">
        <v>6</v>
      </c>
      <c r="L4" s="27">
        <v>14</v>
      </c>
      <c r="M4" s="27">
        <v>13</v>
      </c>
      <c r="N4" s="27">
        <v>2</v>
      </c>
    </row>
    <row r="5" spans="1:17" x14ac:dyDescent="0.25">
      <c r="A5" s="1" t="s">
        <v>45</v>
      </c>
      <c r="B5" t="s">
        <v>46</v>
      </c>
      <c r="C5" t="s">
        <v>47</v>
      </c>
      <c r="D5" s="22" t="s">
        <v>54</v>
      </c>
      <c r="E5" s="2" t="s">
        <v>55</v>
      </c>
      <c r="F5" s="27">
        <v>0</v>
      </c>
      <c r="G5" s="27">
        <v>0</v>
      </c>
      <c r="H5" s="27">
        <v>0</v>
      </c>
      <c r="I5" s="27">
        <v>0</v>
      </c>
      <c r="J5" s="27">
        <v>0</v>
      </c>
      <c r="K5" s="27">
        <v>0</v>
      </c>
      <c r="L5" s="27">
        <v>0</v>
      </c>
      <c r="M5" s="27">
        <v>0</v>
      </c>
      <c r="N5" s="27">
        <v>0</v>
      </c>
    </row>
    <row r="6" spans="1:17" x14ac:dyDescent="0.25">
      <c r="A6" s="1" t="s">
        <v>45</v>
      </c>
      <c r="B6" t="s">
        <v>56</v>
      </c>
      <c r="C6" t="s">
        <v>57</v>
      </c>
      <c r="D6" s="22" t="s">
        <v>58</v>
      </c>
      <c r="E6" s="13" t="s">
        <v>59</v>
      </c>
      <c r="F6" s="27">
        <f>SUM('Team-Level Template'!G80,'Team-Level Template'!G113)</f>
        <v>0</v>
      </c>
      <c r="G6" s="27">
        <v>0</v>
      </c>
      <c r="H6" s="27">
        <v>0</v>
      </c>
      <c r="I6" s="27">
        <v>0</v>
      </c>
      <c r="J6" s="27">
        <v>0</v>
      </c>
      <c r="K6" s="27">
        <v>0</v>
      </c>
      <c r="L6" s="27">
        <v>0</v>
      </c>
      <c r="M6" s="27">
        <v>0</v>
      </c>
      <c r="N6" s="27">
        <v>0</v>
      </c>
    </row>
    <row r="7" spans="1:17" x14ac:dyDescent="0.25">
      <c r="A7" s="1" t="s">
        <v>45</v>
      </c>
      <c r="B7" t="s">
        <v>56</v>
      </c>
      <c r="C7" t="s">
        <v>57</v>
      </c>
      <c r="D7" s="23" t="s">
        <v>60</v>
      </c>
      <c r="E7" s="13" t="s">
        <v>61</v>
      </c>
      <c r="F7" s="27">
        <f>SUM('Team-Level Template'!G81,'Team-Level Template'!G114)</f>
        <v>0</v>
      </c>
      <c r="G7" s="27">
        <v>0</v>
      </c>
      <c r="H7" s="27">
        <v>0</v>
      </c>
      <c r="I7" s="27">
        <v>0</v>
      </c>
      <c r="J7" s="27">
        <v>0</v>
      </c>
      <c r="K7" s="27">
        <v>0</v>
      </c>
      <c r="L7" s="27">
        <v>0</v>
      </c>
      <c r="M7" s="27">
        <v>0</v>
      </c>
      <c r="N7" s="27">
        <v>0</v>
      </c>
    </row>
    <row r="8" spans="1:17" x14ac:dyDescent="0.25">
      <c r="A8" s="1" t="s">
        <v>45</v>
      </c>
      <c r="B8" t="s">
        <v>56</v>
      </c>
      <c r="C8" t="s">
        <v>57</v>
      </c>
      <c r="D8" s="23" t="s">
        <v>62</v>
      </c>
      <c r="E8" s="13" t="s">
        <v>63</v>
      </c>
      <c r="F8" s="27">
        <f>SUM('Team-Level Template'!G82,'Team-Level Template'!G115)</f>
        <v>0</v>
      </c>
      <c r="G8" s="27">
        <v>1</v>
      </c>
      <c r="H8" s="27">
        <v>0</v>
      </c>
      <c r="I8" s="27">
        <v>0</v>
      </c>
      <c r="J8" s="27">
        <v>0</v>
      </c>
      <c r="K8" s="27">
        <v>0</v>
      </c>
      <c r="L8" s="27">
        <v>0</v>
      </c>
      <c r="M8" s="27">
        <v>1</v>
      </c>
      <c r="N8" s="27">
        <v>2</v>
      </c>
    </row>
    <row r="9" spans="1:17" x14ac:dyDescent="0.25">
      <c r="A9" s="1" t="s">
        <v>45</v>
      </c>
      <c r="B9" t="s">
        <v>56</v>
      </c>
      <c r="C9" t="s">
        <v>57</v>
      </c>
      <c r="D9" s="22" t="s">
        <v>64</v>
      </c>
      <c r="E9" s="2" t="s">
        <v>65</v>
      </c>
      <c r="F9" s="27" t="s">
        <v>66</v>
      </c>
      <c r="G9" s="27" t="s">
        <v>66</v>
      </c>
      <c r="H9" s="27" t="s">
        <v>66</v>
      </c>
      <c r="I9" s="27" t="s">
        <v>66</v>
      </c>
      <c r="J9" s="27" t="s">
        <v>66</v>
      </c>
      <c r="K9" s="27" t="s">
        <v>66</v>
      </c>
      <c r="L9" s="27">
        <v>0</v>
      </c>
      <c r="M9" s="27">
        <v>0</v>
      </c>
      <c r="N9" s="27">
        <v>0</v>
      </c>
    </row>
    <row r="10" spans="1:17" x14ac:dyDescent="0.25">
      <c r="A10" s="1" t="s">
        <v>45</v>
      </c>
      <c r="B10" t="s">
        <v>9</v>
      </c>
      <c r="C10" t="s">
        <v>67</v>
      </c>
      <c r="D10" s="22" t="s">
        <v>68</v>
      </c>
      <c r="E10" s="2" t="s">
        <v>69</v>
      </c>
      <c r="F10" s="27">
        <f>SUM('Team-Level Template'!G84)</f>
        <v>18</v>
      </c>
      <c r="G10" s="27">
        <v>6</v>
      </c>
      <c r="H10" s="27">
        <v>20</v>
      </c>
      <c r="I10" s="27">
        <v>5</v>
      </c>
      <c r="J10" s="27">
        <v>5</v>
      </c>
      <c r="K10" s="27">
        <v>10</v>
      </c>
      <c r="L10" s="27">
        <v>4</v>
      </c>
      <c r="M10" s="27">
        <v>12</v>
      </c>
      <c r="N10" s="27">
        <v>10</v>
      </c>
    </row>
    <row r="11" spans="1:17" x14ac:dyDescent="0.25">
      <c r="A11" s="1" t="s">
        <v>45</v>
      </c>
      <c r="B11" t="s">
        <v>9</v>
      </c>
      <c r="C11" t="s">
        <v>67</v>
      </c>
      <c r="D11" s="22" t="s">
        <v>70</v>
      </c>
      <c r="E11" s="2" t="s">
        <v>69</v>
      </c>
      <c r="F11" s="27">
        <f>SUM('Team-Level Template'!G118)</f>
        <v>14</v>
      </c>
      <c r="G11" s="27">
        <v>8</v>
      </c>
      <c r="H11" s="27">
        <v>8</v>
      </c>
      <c r="I11" s="27">
        <v>9</v>
      </c>
      <c r="J11" s="27">
        <v>5</v>
      </c>
      <c r="K11" s="27">
        <v>6</v>
      </c>
      <c r="L11" s="27">
        <v>9</v>
      </c>
      <c r="M11" s="27">
        <v>7</v>
      </c>
      <c r="N11" s="27">
        <v>15</v>
      </c>
    </row>
    <row r="12" spans="1:17" x14ac:dyDescent="0.25">
      <c r="A12" s="1" t="s">
        <v>45</v>
      </c>
      <c r="B12" t="s">
        <v>9</v>
      </c>
      <c r="C12" t="s">
        <v>71</v>
      </c>
      <c r="D12" s="20" t="s">
        <v>10</v>
      </c>
      <c r="E12" s="2" t="s">
        <v>11</v>
      </c>
    </row>
    <row r="13" spans="1:17" x14ac:dyDescent="0.25">
      <c r="A13" s="1" t="s">
        <v>45</v>
      </c>
      <c r="B13" t="s">
        <v>9</v>
      </c>
      <c r="C13" t="s">
        <v>71</v>
      </c>
      <c r="D13" s="20" t="s">
        <v>72</v>
      </c>
      <c r="E13" s="2" t="s">
        <v>73</v>
      </c>
    </row>
    <row r="14" spans="1:17" x14ac:dyDescent="0.25">
      <c r="A14" s="1" t="s">
        <v>45</v>
      </c>
      <c r="B14" t="s">
        <v>9</v>
      </c>
      <c r="C14" t="s">
        <v>71</v>
      </c>
      <c r="D14" s="20" t="s">
        <v>74</v>
      </c>
      <c r="E14" s="2" t="s">
        <v>71</v>
      </c>
    </row>
    <row r="15" spans="1:17" x14ac:dyDescent="0.25">
      <c r="A15" s="1" t="s">
        <v>45</v>
      </c>
      <c r="B15" t="s">
        <v>9</v>
      </c>
      <c r="C15" t="s">
        <v>71</v>
      </c>
      <c r="D15" s="20" t="s">
        <v>75</v>
      </c>
      <c r="E15" s="2" t="s">
        <v>71</v>
      </c>
    </row>
    <row r="16" spans="1:17" x14ac:dyDescent="0.25">
      <c r="A16" s="1" t="s">
        <v>45</v>
      </c>
      <c r="B16" t="s">
        <v>76</v>
      </c>
      <c r="C16" t="s">
        <v>67</v>
      </c>
      <c r="D16" s="22" t="s">
        <v>77</v>
      </c>
      <c r="E16" s="2" t="s">
        <v>78</v>
      </c>
      <c r="F16" s="27">
        <v>0</v>
      </c>
      <c r="G16" s="46">
        <v>0.16700000000000001</v>
      </c>
      <c r="H16" s="32">
        <v>0.66700000000000004</v>
      </c>
      <c r="I16" s="27">
        <v>0</v>
      </c>
      <c r="J16" s="27">
        <v>57.1</v>
      </c>
      <c r="K16" s="27">
        <v>57.1</v>
      </c>
      <c r="L16" s="27">
        <v>0</v>
      </c>
      <c r="M16" s="27">
        <v>33</v>
      </c>
      <c r="N16" s="27">
        <v>100</v>
      </c>
    </row>
    <row r="17" spans="1:14" x14ac:dyDescent="0.25">
      <c r="A17" s="1" t="s">
        <v>45</v>
      </c>
      <c r="B17" t="s">
        <v>76</v>
      </c>
      <c r="C17" t="s">
        <v>47</v>
      </c>
      <c r="D17" s="22" t="s">
        <v>79</v>
      </c>
      <c r="E17" s="2" t="s">
        <v>80</v>
      </c>
      <c r="F17" s="27">
        <v>44</v>
      </c>
      <c r="G17" s="27">
        <v>53</v>
      </c>
      <c r="H17" s="27">
        <v>49</v>
      </c>
      <c r="I17" s="27">
        <v>81</v>
      </c>
      <c r="J17" s="27">
        <v>79</v>
      </c>
      <c r="K17" s="27">
        <v>67</v>
      </c>
      <c r="L17" s="27">
        <v>65</v>
      </c>
      <c r="M17" s="27">
        <v>62</v>
      </c>
      <c r="N17" s="27">
        <v>69</v>
      </c>
    </row>
    <row r="18" spans="1:14" x14ac:dyDescent="0.25">
      <c r="A18" s="1" t="s">
        <v>45</v>
      </c>
      <c r="B18" t="s">
        <v>76</v>
      </c>
      <c r="C18" t="s">
        <v>47</v>
      </c>
      <c r="D18" s="22" t="s">
        <v>81</v>
      </c>
      <c r="E18" s="2" t="s">
        <v>82</v>
      </c>
      <c r="F18" s="27">
        <v>2</v>
      </c>
      <c r="G18" s="27">
        <v>2</v>
      </c>
      <c r="H18" s="27">
        <v>16</v>
      </c>
      <c r="I18" s="27">
        <v>3</v>
      </c>
      <c r="J18" s="27">
        <v>3</v>
      </c>
      <c r="K18" s="27">
        <v>19</v>
      </c>
      <c r="L18" s="27">
        <v>18</v>
      </c>
      <c r="M18" s="27">
        <v>20</v>
      </c>
      <c r="N18" s="27">
        <v>13</v>
      </c>
    </row>
    <row r="19" spans="1:14" x14ac:dyDescent="0.25">
      <c r="A19" s="1" t="s">
        <v>45</v>
      </c>
      <c r="B19" t="s">
        <v>76</v>
      </c>
      <c r="C19" t="s">
        <v>47</v>
      </c>
      <c r="D19" s="22" t="s">
        <v>83</v>
      </c>
      <c r="E19" s="2" t="s">
        <v>84</v>
      </c>
      <c r="F19" s="27">
        <v>54</v>
      </c>
      <c r="G19" s="27">
        <v>45</v>
      </c>
      <c r="H19" s="27">
        <v>35</v>
      </c>
      <c r="I19" s="27">
        <v>16</v>
      </c>
      <c r="J19" s="27">
        <v>18</v>
      </c>
      <c r="K19" s="27">
        <v>14</v>
      </c>
      <c r="L19" s="27">
        <v>17</v>
      </c>
      <c r="M19" s="27">
        <v>18</v>
      </c>
      <c r="N19" s="27">
        <v>18</v>
      </c>
    </row>
    <row r="20" spans="1:14" x14ac:dyDescent="0.25">
      <c r="A20" s="1" t="s">
        <v>45</v>
      </c>
      <c r="B20" t="s">
        <v>76</v>
      </c>
      <c r="C20" t="s">
        <v>47</v>
      </c>
      <c r="D20" s="22" t="s">
        <v>85</v>
      </c>
      <c r="E20" s="2" t="s">
        <v>66</v>
      </c>
      <c r="F20" s="27">
        <f>AVERAGE('Team-Level Template'!G127,'Team-Level Template'!G94)</f>
        <v>0</v>
      </c>
      <c r="G20" s="27">
        <v>0</v>
      </c>
      <c r="H20" s="27">
        <v>0</v>
      </c>
      <c r="I20" s="27">
        <v>0</v>
      </c>
      <c r="J20" s="27">
        <v>0</v>
      </c>
      <c r="K20" s="27">
        <v>0</v>
      </c>
      <c r="L20" s="27">
        <v>0</v>
      </c>
      <c r="M20" s="27">
        <v>0</v>
      </c>
      <c r="N20" s="27">
        <v>0</v>
      </c>
    </row>
    <row r="21" spans="1:14" x14ac:dyDescent="0.25">
      <c r="A21" s="1" t="s">
        <v>45</v>
      </c>
      <c r="B21" t="s">
        <v>76</v>
      </c>
      <c r="C21" t="s">
        <v>71</v>
      </c>
      <c r="D21" s="20" t="s">
        <v>86</v>
      </c>
      <c r="E21" s="2" t="s">
        <v>87</v>
      </c>
      <c r="F21" s="27" t="s">
        <v>88</v>
      </c>
      <c r="G21" s="27" t="s">
        <v>88</v>
      </c>
      <c r="H21" s="27" t="s">
        <v>88</v>
      </c>
      <c r="I21" s="27" t="s">
        <v>88</v>
      </c>
      <c r="J21" s="27" t="s">
        <v>88</v>
      </c>
      <c r="K21" s="27" t="s">
        <v>88</v>
      </c>
      <c r="L21" s="27" t="s">
        <v>88</v>
      </c>
      <c r="M21" s="27" t="s">
        <v>88</v>
      </c>
      <c r="N21" s="27" t="s">
        <v>88</v>
      </c>
    </row>
    <row r="22" spans="1:14" x14ac:dyDescent="0.25">
      <c r="A22" s="1" t="s">
        <v>45</v>
      </c>
      <c r="B22" t="s">
        <v>76</v>
      </c>
      <c r="C22" t="s">
        <v>71</v>
      </c>
      <c r="D22" s="20" t="s">
        <v>89</v>
      </c>
      <c r="E22" s="2" t="s">
        <v>90</v>
      </c>
    </row>
    <row r="23" spans="1:14" x14ac:dyDescent="0.25">
      <c r="A23" s="1" t="s">
        <v>45</v>
      </c>
      <c r="B23" t="s">
        <v>91</v>
      </c>
      <c r="C23" t="s">
        <v>47</v>
      </c>
      <c r="D23" s="15" t="s">
        <v>92</v>
      </c>
      <c r="E23" s="2" t="s">
        <v>93</v>
      </c>
    </row>
    <row r="24" spans="1:14" x14ac:dyDescent="0.25">
      <c r="A24" s="1" t="s">
        <v>45</v>
      </c>
      <c r="B24" t="s">
        <v>91</v>
      </c>
      <c r="C24" t="s">
        <v>47</v>
      </c>
      <c r="D24" s="15" t="s">
        <v>94</v>
      </c>
      <c r="E24" s="2" t="s">
        <v>71</v>
      </c>
    </row>
    <row r="25" spans="1:14" x14ac:dyDescent="0.25">
      <c r="A25" s="1" t="s">
        <v>45</v>
      </c>
      <c r="B25" t="s">
        <v>91</v>
      </c>
      <c r="C25" t="s">
        <v>47</v>
      </c>
      <c r="D25" s="15" t="s">
        <v>95</v>
      </c>
      <c r="E25" s="2" t="s">
        <v>96</v>
      </c>
    </row>
    <row r="26" spans="1:14" x14ac:dyDescent="0.25">
      <c r="A26" s="1" t="s">
        <v>45</v>
      </c>
      <c r="B26" t="s">
        <v>91</v>
      </c>
      <c r="C26" t="s">
        <v>47</v>
      </c>
      <c r="D26" s="15" t="s">
        <v>97</v>
      </c>
      <c r="E26" s="2" t="s">
        <v>98</v>
      </c>
    </row>
    <row r="27" spans="1:14" x14ac:dyDescent="0.25">
      <c r="A27" s="1" t="s">
        <v>45</v>
      </c>
      <c r="B27" t="s">
        <v>91</v>
      </c>
      <c r="C27" t="s">
        <v>71</v>
      </c>
      <c r="D27" s="20" t="s">
        <v>99</v>
      </c>
      <c r="E27" s="2" t="s">
        <v>100</v>
      </c>
    </row>
    <row r="28" spans="1:14" x14ac:dyDescent="0.25">
      <c r="A28" s="1" t="s">
        <v>45</v>
      </c>
      <c r="B28" t="s">
        <v>91</v>
      </c>
      <c r="C28" t="s">
        <v>71</v>
      </c>
      <c r="D28" t="s">
        <v>101</v>
      </c>
      <c r="E28" s="2" t="s">
        <v>71</v>
      </c>
      <c r="F28" s="27">
        <v>0</v>
      </c>
      <c r="G28" s="27">
        <v>0</v>
      </c>
      <c r="H28" s="27">
        <v>0</v>
      </c>
      <c r="I28" s="27">
        <v>0</v>
      </c>
      <c r="J28" s="27">
        <v>0</v>
      </c>
      <c r="K28" s="27">
        <v>0</v>
      </c>
      <c r="L28" s="27">
        <v>0</v>
      </c>
      <c r="M28" s="27">
        <v>0</v>
      </c>
      <c r="N28" s="27">
        <v>0</v>
      </c>
    </row>
    <row r="29" spans="1:14" x14ac:dyDescent="0.25">
      <c r="A29" s="1" t="s">
        <v>45</v>
      </c>
      <c r="B29" t="s">
        <v>102</v>
      </c>
      <c r="C29" t="s">
        <v>47</v>
      </c>
      <c r="D29" s="22" t="s">
        <v>103</v>
      </c>
      <c r="E29" s="2" t="s">
        <v>66</v>
      </c>
      <c r="F29" s="27">
        <v>1</v>
      </c>
      <c r="G29" s="27">
        <v>21</v>
      </c>
      <c r="H29" s="27">
        <v>22</v>
      </c>
      <c r="I29" s="27">
        <v>29</v>
      </c>
      <c r="J29" s="27">
        <v>20</v>
      </c>
      <c r="K29" s="27">
        <v>25.5</v>
      </c>
      <c r="L29" s="27">
        <v>32</v>
      </c>
      <c r="M29" s="27">
        <v>35</v>
      </c>
      <c r="N29" s="27">
        <v>43</v>
      </c>
    </row>
    <row r="30" spans="1:14" x14ac:dyDescent="0.25">
      <c r="A30" s="1" t="s">
        <v>45</v>
      </c>
      <c r="B30" t="s">
        <v>102</v>
      </c>
      <c r="C30" t="s">
        <v>47</v>
      </c>
      <c r="D30" s="22" t="s">
        <v>104</v>
      </c>
      <c r="E30" s="2" t="s">
        <v>66</v>
      </c>
      <c r="F30" s="27">
        <v>0.27</v>
      </c>
      <c r="G30" s="27">
        <v>2.06</v>
      </c>
      <c r="H30" s="27">
        <v>1.82</v>
      </c>
      <c r="I30" s="27">
        <v>2.4500000000000002</v>
      </c>
      <c r="J30" s="27">
        <v>1.39</v>
      </c>
      <c r="K30" s="27">
        <v>2.12</v>
      </c>
      <c r="L30" s="27">
        <v>2.62</v>
      </c>
      <c r="M30" s="27">
        <v>4.17</v>
      </c>
      <c r="N30" s="27">
        <v>4.53</v>
      </c>
    </row>
    <row r="31" spans="1:14" x14ac:dyDescent="0.25">
      <c r="A31" s="1" t="s">
        <v>45</v>
      </c>
      <c r="B31" t="s">
        <v>102</v>
      </c>
      <c r="C31" t="s">
        <v>47</v>
      </c>
      <c r="D31" s="22" t="s">
        <v>105</v>
      </c>
      <c r="E31" s="2" t="s">
        <v>66</v>
      </c>
      <c r="F31" s="27">
        <v>1</v>
      </c>
      <c r="G31" s="27">
        <v>22</v>
      </c>
      <c r="H31" s="27">
        <v>22</v>
      </c>
      <c r="I31" s="27">
        <v>29</v>
      </c>
      <c r="J31" s="27">
        <v>18</v>
      </c>
      <c r="K31" s="27">
        <v>25</v>
      </c>
      <c r="L31" s="27">
        <v>31</v>
      </c>
      <c r="M31" s="27">
        <v>36</v>
      </c>
      <c r="N31" s="27">
        <v>45</v>
      </c>
    </row>
    <row r="32" spans="1:14" x14ac:dyDescent="0.25">
      <c r="A32" s="1" t="s">
        <v>45</v>
      </c>
      <c r="B32" t="s">
        <v>102</v>
      </c>
      <c r="C32" t="s">
        <v>47</v>
      </c>
      <c r="D32" s="22" t="s">
        <v>106</v>
      </c>
      <c r="E32" s="2" t="s">
        <v>66</v>
      </c>
      <c r="F32" s="27">
        <v>0.27</v>
      </c>
      <c r="G32" s="27">
        <v>2.11</v>
      </c>
      <c r="H32" s="27">
        <v>1.83</v>
      </c>
      <c r="I32" s="27">
        <v>2.5099999999999998</v>
      </c>
      <c r="J32" s="27">
        <v>1.33</v>
      </c>
      <c r="K32" s="27">
        <v>2.12</v>
      </c>
      <c r="L32" s="27">
        <v>2.57</v>
      </c>
      <c r="M32" s="27">
        <v>4.13</v>
      </c>
      <c r="N32" s="27">
        <v>4.38</v>
      </c>
    </row>
    <row r="33" spans="1:14" x14ac:dyDescent="0.25">
      <c r="A33" s="1" t="s">
        <v>45</v>
      </c>
      <c r="B33" t="s">
        <v>102</v>
      </c>
      <c r="C33" t="s">
        <v>47</v>
      </c>
      <c r="D33" s="22" t="s">
        <v>107</v>
      </c>
      <c r="E33" s="2" t="s">
        <v>66</v>
      </c>
      <c r="F33" s="27">
        <v>0</v>
      </c>
      <c r="G33" s="27">
        <v>19</v>
      </c>
      <c r="H33" s="27">
        <v>20</v>
      </c>
      <c r="I33" s="27">
        <v>34</v>
      </c>
      <c r="J33" s="27">
        <v>12</v>
      </c>
      <c r="K33" s="27">
        <v>32</v>
      </c>
      <c r="L33" s="27">
        <v>32</v>
      </c>
      <c r="M33" s="27">
        <v>34</v>
      </c>
      <c r="N33" s="27">
        <v>40</v>
      </c>
    </row>
    <row r="34" spans="1:14" x14ac:dyDescent="0.25">
      <c r="A34" s="1" t="s">
        <v>45</v>
      </c>
      <c r="B34" s="17" t="s">
        <v>102</v>
      </c>
      <c r="C34" s="17" t="s">
        <v>47</v>
      </c>
      <c r="D34" s="24" t="s">
        <v>108</v>
      </c>
      <c r="E34" s="18" t="s">
        <v>66</v>
      </c>
      <c r="F34" s="27">
        <v>0.23</v>
      </c>
      <c r="G34" s="27">
        <v>1.72</v>
      </c>
      <c r="H34" s="27">
        <v>1.75</v>
      </c>
      <c r="I34" s="27">
        <v>3.45</v>
      </c>
      <c r="J34" s="27">
        <v>1.31</v>
      </c>
      <c r="K34" s="27">
        <v>3.22</v>
      </c>
      <c r="L34" s="27">
        <v>2.65</v>
      </c>
      <c r="M34" s="27">
        <v>3.02</v>
      </c>
      <c r="N34" s="27">
        <v>4.24</v>
      </c>
    </row>
  </sheetData>
  <phoneticPr fontId="5"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9F3CE-5088-419D-86D9-C7BC06DF3FB5}">
  <dimension ref="A1:BZ327"/>
  <sheetViews>
    <sheetView tabSelected="1" topLeftCell="A129" zoomScaleNormal="100" workbookViewId="0">
      <pane xSplit="5" topLeftCell="I1" activePane="topRight" state="frozen"/>
      <selection pane="topRight" activeCell="Q152" sqref="Q152"/>
    </sheetView>
  </sheetViews>
  <sheetFormatPr defaultColWidth="15.625" defaultRowHeight="15.75" customHeight="1" x14ac:dyDescent="0.25"/>
  <cols>
    <col min="1" max="1" width="24.625" bestFit="1" customWidth="1"/>
    <col min="2" max="2" width="9.625" customWidth="1"/>
    <col min="3" max="3" width="7" customWidth="1"/>
    <col min="4" max="4" width="28.25" customWidth="1"/>
    <col min="6" max="6" width="9.875" customWidth="1"/>
    <col min="7" max="10" width="15.625" style="27"/>
    <col min="11" max="11" width="15.75" style="27" customWidth="1"/>
    <col min="12" max="14" width="15.625" style="27"/>
    <col min="15" max="15" width="15.5" customWidth="1"/>
    <col min="16" max="18" width="15.625" style="27"/>
  </cols>
  <sheetData>
    <row r="1" spans="1:18" x14ac:dyDescent="0.25">
      <c r="A1" s="19" t="s">
        <v>0</v>
      </c>
      <c r="B1" s="19" t="s">
        <v>1</v>
      </c>
      <c r="C1" s="19" t="s">
        <v>31</v>
      </c>
      <c r="D1" s="19" t="s">
        <v>2</v>
      </c>
      <c r="E1" s="19" t="s">
        <v>32</v>
      </c>
      <c r="F1" s="19"/>
      <c r="G1" s="30" t="s">
        <v>33</v>
      </c>
      <c r="H1" s="30" t="s">
        <v>34</v>
      </c>
      <c r="I1" s="30" t="s">
        <v>35</v>
      </c>
      <c r="J1" s="30" t="s">
        <v>36</v>
      </c>
      <c r="K1" s="30" t="s">
        <v>37</v>
      </c>
      <c r="L1" s="30" t="s">
        <v>38</v>
      </c>
      <c r="M1" s="30" t="s">
        <v>39</v>
      </c>
      <c r="N1" s="30" t="s">
        <v>40</v>
      </c>
      <c r="O1" s="30" t="s">
        <v>41</v>
      </c>
      <c r="P1" s="30" t="s">
        <v>42</v>
      </c>
      <c r="Q1" s="30" t="s">
        <v>43</v>
      </c>
      <c r="R1" s="30" t="s">
        <v>44</v>
      </c>
    </row>
    <row r="2" spans="1:18" x14ac:dyDescent="0.25">
      <c r="A2" s="1" t="s">
        <v>109</v>
      </c>
      <c r="B2" t="s">
        <v>46</v>
      </c>
      <c r="C2" t="s">
        <v>47</v>
      </c>
      <c r="D2" s="22" t="s">
        <v>48</v>
      </c>
      <c r="E2" s="2" t="s">
        <v>49</v>
      </c>
      <c r="F2" s="2"/>
      <c r="G2" s="27">
        <v>50</v>
      </c>
      <c r="H2" s="27">
        <v>69.400000000000006</v>
      </c>
      <c r="I2" s="27">
        <v>40.1</v>
      </c>
      <c r="J2" s="27">
        <v>69.400000000000006</v>
      </c>
      <c r="K2" s="27">
        <v>35</v>
      </c>
      <c r="L2" s="27">
        <v>61.3</v>
      </c>
      <c r="M2" s="27">
        <v>59.4</v>
      </c>
      <c r="N2" s="27">
        <v>75.3</v>
      </c>
      <c r="O2" s="27">
        <v>70.400000000000006</v>
      </c>
    </row>
    <row r="3" spans="1:18" x14ac:dyDescent="0.25">
      <c r="A3" s="1" t="s">
        <v>109</v>
      </c>
      <c r="B3" t="s">
        <v>46</v>
      </c>
      <c r="C3" t="s">
        <v>47</v>
      </c>
      <c r="D3" s="22" t="s">
        <v>50</v>
      </c>
      <c r="E3" s="2" t="s">
        <v>51</v>
      </c>
      <c r="F3" s="2"/>
      <c r="G3" s="27">
        <v>7.42</v>
      </c>
      <c r="H3" s="27">
        <v>6.98</v>
      </c>
      <c r="I3" s="27">
        <v>7</v>
      </c>
      <c r="J3" s="27">
        <v>4.87</v>
      </c>
      <c r="K3" s="27">
        <v>5.43</v>
      </c>
      <c r="L3" s="27">
        <v>7.14</v>
      </c>
      <c r="M3" s="27">
        <v>6.1</v>
      </c>
      <c r="N3" s="27">
        <v>4.7699999999999996</v>
      </c>
      <c r="O3" s="27">
        <v>6.57</v>
      </c>
    </row>
    <row r="4" spans="1:18" x14ac:dyDescent="0.25">
      <c r="A4" s="1" t="s">
        <v>109</v>
      </c>
      <c r="B4" t="s">
        <v>46</v>
      </c>
      <c r="C4" t="s">
        <v>47</v>
      </c>
      <c r="D4" s="22" t="s">
        <v>52</v>
      </c>
      <c r="E4" s="2" t="s">
        <v>53</v>
      </c>
      <c r="F4" s="2"/>
      <c r="G4" s="27">
        <v>5</v>
      </c>
      <c r="H4" s="27">
        <v>11</v>
      </c>
      <c r="I4" s="27">
        <v>15</v>
      </c>
      <c r="J4" s="27">
        <v>13</v>
      </c>
      <c r="K4" s="27">
        <v>16</v>
      </c>
      <c r="L4" s="27">
        <v>17</v>
      </c>
      <c r="M4" s="27">
        <v>31</v>
      </c>
      <c r="N4" s="27">
        <v>25</v>
      </c>
      <c r="O4" s="27">
        <v>32</v>
      </c>
    </row>
    <row r="5" spans="1:18" x14ac:dyDescent="0.25">
      <c r="A5" s="1" t="s">
        <v>109</v>
      </c>
      <c r="B5" t="s">
        <v>46</v>
      </c>
      <c r="C5" t="s">
        <v>47</v>
      </c>
      <c r="D5" s="22" t="s">
        <v>54</v>
      </c>
      <c r="E5" s="2" t="s">
        <v>55</v>
      </c>
      <c r="F5" s="2"/>
      <c r="G5" s="27">
        <v>0</v>
      </c>
      <c r="H5" s="27">
        <v>0</v>
      </c>
      <c r="I5" s="27">
        <v>0</v>
      </c>
      <c r="J5" s="27">
        <v>0</v>
      </c>
      <c r="K5" s="27">
        <v>0</v>
      </c>
      <c r="L5" s="27">
        <v>0</v>
      </c>
      <c r="M5" s="27">
        <v>0</v>
      </c>
      <c r="N5" s="27">
        <v>0</v>
      </c>
      <c r="O5" s="27">
        <v>0</v>
      </c>
    </row>
    <row r="6" spans="1:18" ht="17.25" customHeight="1" x14ac:dyDescent="0.25">
      <c r="A6" s="1" t="s">
        <v>109</v>
      </c>
      <c r="B6" t="s">
        <v>56</v>
      </c>
      <c r="C6" t="s">
        <v>57</v>
      </c>
      <c r="D6" s="22" t="s">
        <v>58</v>
      </c>
      <c r="E6" s="13" t="s">
        <v>59</v>
      </c>
      <c r="F6" s="13"/>
      <c r="G6" s="27">
        <v>0</v>
      </c>
      <c r="H6" s="27">
        <v>0</v>
      </c>
      <c r="I6" s="27">
        <v>0</v>
      </c>
      <c r="J6" s="27">
        <v>0</v>
      </c>
      <c r="K6" s="27">
        <v>0</v>
      </c>
      <c r="L6" s="27">
        <v>0</v>
      </c>
      <c r="M6" s="27">
        <v>0</v>
      </c>
      <c r="N6" s="27">
        <v>0</v>
      </c>
      <c r="O6" s="27">
        <v>0</v>
      </c>
    </row>
    <row r="7" spans="1:18" ht="17.25" customHeight="1" x14ac:dyDescent="0.25">
      <c r="A7" s="1" t="s">
        <v>109</v>
      </c>
      <c r="B7" t="s">
        <v>56</v>
      </c>
      <c r="C7" t="s">
        <v>57</v>
      </c>
      <c r="D7" s="23" t="s">
        <v>60</v>
      </c>
      <c r="E7" s="13" t="s">
        <v>61</v>
      </c>
      <c r="F7" s="13"/>
      <c r="G7" s="27">
        <v>0</v>
      </c>
      <c r="H7" s="27">
        <v>0</v>
      </c>
      <c r="I7" s="27">
        <v>0</v>
      </c>
      <c r="J7" s="27">
        <v>0</v>
      </c>
      <c r="K7" s="27">
        <v>0</v>
      </c>
      <c r="L7" s="27">
        <v>0</v>
      </c>
      <c r="M7" s="27">
        <v>0</v>
      </c>
      <c r="N7" s="27">
        <v>0</v>
      </c>
      <c r="O7" s="27">
        <v>0</v>
      </c>
    </row>
    <row r="8" spans="1:18" ht="17.25" customHeight="1" x14ac:dyDescent="0.25">
      <c r="A8" s="1" t="s">
        <v>109</v>
      </c>
      <c r="B8" t="s">
        <v>56</v>
      </c>
      <c r="C8" t="s">
        <v>57</v>
      </c>
      <c r="D8" s="23" t="s">
        <v>62</v>
      </c>
      <c r="E8" s="13" t="s">
        <v>63</v>
      </c>
      <c r="F8" s="13"/>
      <c r="G8" s="27">
        <v>0</v>
      </c>
      <c r="H8" s="27">
        <v>0</v>
      </c>
      <c r="I8" s="27">
        <v>0</v>
      </c>
      <c r="J8" s="27">
        <v>0</v>
      </c>
      <c r="K8" s="27">
        <v>0</v>
      </c>
      <c r="L8" s="27">
        <v>0</v>
      </c>
      <c r="M8" s="27">
        <v>0</v>
      </c>
      <c r="N8" s="27">
        <v>0</v>
      </c>
      <c r="O8" s="27">
        <v>0</v>
      </c>
    </row>
    <row r="9" spans="1:18" ht="17.25" customHeight="1" x14ac:dyDescent="0.5">
      <c r="A9" s="1" t="s">
        <v>109</v>
      </c>
      <c r="B9" t="s">
        <v>56</v>
      </c>
      <c r="C9" t="s">
        <v>57</v>
      </c>
      <c r="D9" s="22" t="s">
        <v>64</v>
      </c>
      <c r="E9" s="2" t="s">
        <v>65</v>
      </c>
      <c r="F9" s="2"/>
      <c r="G9" s="27" t="s">
        <v>110</v>
      </c>
      <c r="H9" s="27" t="s">
        <v>110</v>
      </c>
      <c r="I9" s="27" t="s">
        <v>110</v>
      </c>
      <c r="J9" s="27" t="s">
        <v>110</v>
      </c>
      <c r="K9" s="27" t="s">
        <v>110</v>
      </c>
      <c r="L9" s="27" t="s">
        <v>110</v>
      </c>
      <c r="M9" s="27" t="s">
        <v>110</v>
      </c>
      <c r="N9" s="27" t="s">
        <v>110</v>
      </c>
      <c r="O9" s="27" t="s">
        <v>110</v>
      </c>
      <c r="R9" s="51"/>
    </row>
    <row r="10" spans="1:18" ht="17.25" customHeight="1" x14ac:dyDescent="0.25">
      <c r="A10" s="1" t="s">
        <v>109</v>
      </c>
      <c r="B10" t="s">
        <v>9</v>
      </c>
      <c r="C10" t="s">
        <v>67</v>
      </c>
      <c r="D10" s="22" t="s">
        <v>68</v>
      </c>
      <c r="E10" s="2" t="s">
        <v>69</v>
      </c>
      <c r="F10" s="2"/>
      <c r="G10" s="27">
        <v>0</v>
      </c>
      <c r="H10" s="27">
        <v>4</v>
      </c>
      <c r="I10" s="27">
        <v>0</v>
      </c>
      <c r="J10" s="27">
        <v>4</v>
      </c>
      <c r="K10" s="27">
        <v>6</v>
      </c>
      <c r="L10" s="27">
        <v>1</v>
      </c>
      <c r="M10" s="27">
        <v>0</v>
      </c>
      <c r="N10" s="27">
        <v>0</v>
      </c>
      <c r="O10" s="27">
        <v>3</v>
      </c>
    </row>
    <row r="11" spans="1:18" ht="17.25" customHeight="1" x14ac:dyDescent="0.25">
      <c r="A11" s="1" t="s">
        <v>109</v>
      </c>
      <c r="B11" t="s">
        <v>9</v>
      </c>
      <c r="C11" t="s">
        <v>67</v>
      </c>
      <c r="D11" s="22" t="s">
        <v>70</v>
      </c>
      <c r="E11" s="2" t="s">
        <v>69</v>
      </c>
      <c r="F11" s="2"/>
      <c r="G11" s="27">
        <v>2</v>
      </c>
      <c r="H11" s="27">
        <v>3</v>
      </c>
      <c r="I11" s="27">
        <v>3</v>
      </c>
      <c r="J11" s="27">
        <v>2</v>
      </c>
      <c r="K11" s="27">
        <v>2</v>
      </c>
      <c r="L11" s="27">
        <v>0</v>
      </c>
      <c r="M11" s="27">
        <v>0</v>
      </c>
      <c r="N11" s="27">
        <v>0</v>
      </c>
      <c r="O11" s="27">
        <v>1</v>
      </c>
    </row>
    <row r="12" spans="1:18" x14ac:dyDescent="0.25">
      <c r="A12" s="1" t="s">
        <v>109</v>
      </c>
      <c r="B12" t="s">
        <v>9</v>
      </c>
      <c r="C12" t="s">
        <v>71</v>
      </c>
      <c r="D12" s="20" t="s">
        <v>10</v>
      </c>
      <c r="E12" s="2" t="s">
        <v>11</v>
      </c>
      <c r="F12" s="2"/>
      <c r="O12" s="27"/>
    </row>
    <row r="13" spans="1:18" x14ac:dyDescent="0.25">
      <c r="A13" s="1" t="s">
        <v>109</v>
      </c>
      <c r="B13" t="s">
        <v>9</v>
      </c>
      <c r="C13" t="s">
        <v>71</v>
      </c>
      <c r="D13" s="20" t="s">
        <v>72</v>
      </c>
      <c r="E13" s="2" t="s">
        <v>73</v>
      </c>
      <c r="F13" s="2"/>
      <c r="O13" s="27"/>
    </row>
    <row r="14" spans="1:18" x14ac:dyDescent="0.25">
      <c r="A14" s="1" t="s">
        <v>109</v>
      </c>
      <c r="B14" t="s">
        <v>9</v>
      </c>
      <c r="C14" t="s">
        <v>71</v>
      </c>
      <c r="D14" s="20" t="s">
        <v>74</v>
      </c>
      <c r="E14" s="2" t="s">
        <v>71</v>
      </c>
      <c r="F14" s="2"/>
      <c r="O14" s="27"/>
    </row>
    <row r="15" spans="1:18" x14ac:dyDescent="0.25">
      <c r="A15" s="1" t="s">
        <v>109</v>
      </c>
      <c r="B15" t="s">
        <v>9</v>
      </c>
      <c r="C15" t="s">
        <v>71</v>
      </c>
      <c r="D15" s="20" t="s">
        <v>75</v>
      </c>
      <c r="E15" s="2" t="s">
        <v>71</v>
      </c>
      <c r="F15" s="2"/>
      <c r="O15" s="27"/>
    </row>
    <row r="16" spans="1:18" x14ac:dyDescent="0.25">
      <c r="A16" s="1" t="s">
        <v>109</v>
      </c>
      <c r="B16" t="s">
        <v>76</v>
      </c>
      <c r="C16" t="s">
        <v>67</v>
      </c>
      <c r="D16" s="22" t="s">
        <v>77</v>
      </c>
      <c r="E16" s="2" t="s">
        <v>78</v>
      </c>
      <c r="F16" s="2"/>
      <c r="G16" s="27">
        <v>0</v>
      </c>
      <c r="H16" s="27">
        <v>50</v>
      </c>
      <c r="I16" s="27">
        <v>100</v>
      </c>
      <c r="J16" s="27">
        <v>20</v>
      </c>
      <c r="K16" s="27">
        <v>40</v>
      </c>
      <c r="L16" s="27">
        <v>100</v>
      </c>
      <c r="M16" s="27">
        <v>0</v>
      </c>
      <c r="N16" s="27">
        <v>25</v>
      </c>
      <c r="O16" s="27">
        <v>100</v>
      </c>
    </row>
    <row r="17" spans="1:18" x14ac:dyDescent="0.25">
      <c r="A17" s="1" t="s">
        <v>109</v>
      </c>
      <c r="B17" t="s">
        <v>76</v>
      </c>
      <c r="C17" t="s">
        <v>47</v>
      </c>
      <c r="D17" s="22" t="s">
        <v>79</v>
      </c>
      <c r="E17" s="22" t="s">
        <v>79</v>
      </c>
      <c r="F17" s="2"/>
      <c r="G17" s="27">
        <v>88</v>
      </c>
      <c r="H17" s="27">
        <v>51</v>
      </c>
      <c r="I17" s="27">
        <v>63</v>
      </c>
      <c r="J17" s="27">
        <v>67</v>
      </c>
      <c r="K17" s="27">
        <v>52</v>
      </c>
      <c r="L17" s="27">
        <v>64</v>
      </c>
      <c r="M17" s="27">
        <v>28</v>
      </c>
      <c r="N17" s="27">
        <v>26</v>
      </c>
      <c r="O17" s="27">
        <v>35</v>
      </c>
    </row>
    <row r="18" spans="1:18" x14ac:dyDescent="0.25">
      <c r="A18" s="1" t="s">
        <v>109</v>
      </c>
      <c r="B18" t="s">
        <v>76</v>
      </c>
      <c r="C18" t="s">
        <v>47</v>
      </c>
      <c r="D18" s="22" t="s">
        <v>81</v>
      </c>
      <c r="E18" s="2" t="s">
        <v>82</v>
      </c>
      <c r="F18" s="2"/>
      <c r="G18" s="27">
        <v>0</v>
      </c>
      <c r="H18" s="27">
        <v>15</v>
      </c>
      <c r="I18" s="27">
        <v>8</v>
      </c>
      <c r="J18" s="27">
        <v>1</v>
      </c>
      <c r="K18" s="27">
        <v>16</v>
      </c>
      <c r="L18" s="27">
        <v>4</v>
      </c>
      <c r="M18" s="27">
        <v>4</v>
      </c>
      <c r="N18" s="27">
        <v>5</v>
      </c>
      <c r="O18" s="27">
        <v>3</v>
      </c>
    </row>
    <row r="19" spans="1:18" x14ac:dyDescent="0.25">
      <c r="A19" s="1" t="s">
        <v>109</v>
      </c>
      <c r="B19" t="s">
        <v>76</v>
      </c>
      <c r="C19" t="s">
        <v>47</v>
      </c>
      <c r="D19" s="22" t="s">
        <v>83</v>
      </c>
      <c r="E19" s="2" t="s">
        <v>84</v>
      </c>
      <c r="F19" s="2"/>
      <c r="G19" s="27">
        <v>12</v>
      </c>
      <c r="H19" s="27">
        <v>34</v>
      </c>
      <c r="I19" s="27">
        <v>29</v>
      </c>
      <c r="J19" s="27">
        <v>32</v>
      </c>
      <c r="K19" s="27">
        <v>32</v>
      </c>
      <c r="L19" s="27">
        <v>32</v>
      </c>
      <c r="M19" s="27">
        <v>68</v>
      </c>
      <c r="N19" s="27">
        <v>69</v>
      </c>
      <c r="O19" s="27">
        <v>62</v>
      </c>
    </row>
    <row r="20" spans="1:18" x14ac:dyDescent="0.25">
      <c r="A20" s="1" t="s">
        <v>109</v>
      </c>
      <c r="B20" t="s">
        <v>76</v>
      </c>
      <c r="C20" t="s">
        <v>47</v>
      </c>
      <c r="D20" s="22" t="s">
        <v>85</v>
      </c>
      <c r="E20" s="2" t="s">
        <v>66</v>
      </c>
      <c r="F20" s="2"/>
      <c r="G20" s="27">
        <v>0</v>
      </c>
      <c r="H20" s="27">
        <v>0</v>
      </c>
      <c r="I20" s="27">
        <v>0</v>
      </c>
      <c r="J20" s="27">
        <v>0</v>
      </c>
      <c r="K20" s="27">
        <v>0</v>
      </c>
      <c r="L20" s="27">
        <v>0</v>
      </c>
      <c r="M20" s="27">
        <v>0</v>
      </c>
      <c r="N20" s="27">
        <v>0</v>
      </c>
      <c r="O20" s="27">
        <v>0</v>
      </c>
    </row>
    <row r="21" spans="1:18" x14ac:dyDescent="0.25">
      <c r="A21" s="1" t="s">
        <v>109</v>
      </c>
      <c r="B21" t="s">
        <v>76</v>
      </c>
      <c r="C21" t="s">
        <v>71</v>
      </c>
      <c r="D21" s="20" t="s">
        <v>86</v>
      </c>
      <c r="E21" s="2" t="s">
        <v>87</v>
      </c>
      <c r="F21" s="2"/>
      <c r="O21" s="27"/>
    </row>
    <row r="22" spans="1:18" x14ac:dyDescent="0.25">
      <c r="A22" s="1" t="s">
        <v>109</v>
      </c>
      <c r="B22" t="s">
        <v>76</v>
      </c>
      <c r="C22" t="s">
        <v>71</v>
      </c>
      <c r="D22" s="20" t="s">
        <v>89</v>
      </c>
      <c r="E22" s="2" t="s">
        <v>90</v>
      </c>
      <c r="F22" s="2"/>
      <c r="O22" s="27"/>
    </row>
    <row r="23" spans="1:18" x14ac:dyDescent="0.25">
      <c r="A23" s="1" t="s">
        <v>109</v>
      </c>
      <c r="B23" t="s">
        <v>91</v>
      </c>
      <c r="C23" t="s">
        <v>47</v>
      </c>
      <c r="D23" s="15" t="s">
        <v>92</v>
      </c>
      <c r="E23" s="2" t="s">
        <v>93</v>
      </c>
      <c r="F23" s="2"/>
      <c r="G23" s="31">
        <v>70</v>
      </c>
      <c r="H23" s="31">
        <v>70</v>
      </c>
      <c r="I23" s="31">
        <v>70</v>
      </c>
      <c r="J23" s="57" t="s">
        <v>111</v>
      </c>
      <c r="K23" s="31"/>
      <c r="L23" s="31"/>
      <c r="N23" s="31"/>
      <c r="O23" s="31"/>
      <c r="Q23" s="31"/>
      <c r="R23" s="31"/>
    </row>
    <row r="24" spans="1:18" x14ac:dyDescent="0.25">
      <c r="A24" s="1" t="s">
        <v>109</v>
      </c>
      <c r="B24" t="s">
        <v>91</v>
      </c>
      <c r="C24" t="s">
        <v>47</v>
      </c>
      <c r="D24" s="15" t="s">
        <v>94</v>
      </c>
      <c r="E24" s="2" t="s">
        <v>71</v>
      </c>
      <c r="F24" s="2"/>
      <c r="G24" s="31">
        <v>70</v>
      </c>
      <c r="H24" s="31">
        <v>70</v>
      </c>
      <c r="I24" s="31">
        <v>70</v>
      </c>
      <c r="J24" s="57" t="s">
        <v>111</v>
      </c>
      <c r="K24" s="31"/>
      <c r="L24" s="31"/>
      <c r="N24" s="31"/>
      <c r="O24" s="31"/>
      <c r="Q24" s="31"/>
      <c r="R24" s="31"/>
    </row>
    <row r="25" spans="1:18" x14ac:dyDescent="0.25">
      <c r="A25" s="1" t="s">
        <v>109</v>
      </c>
      <c r="B25" t="s">
        <v>91</v>
      </c>
      <c r="C25" t="s">
        <v>47</v>
      </c>
      <c r="D25" s="15" t="s">
        <v>95</v>
      </c>
      <c r="E25" s="2" t="s">
        <v>96</v>
      </c>
      <c r="F25" s="2"/>
      <c r="G25" s="31">
        <v>50</v>
      </c>
      <c r="H25" s="31">
        <v>50</v>
      </c>
      <c r="I25" s="31">
        <v>50</v>
      </c>
      <c r="J25" s="57" t="s">
        <v>111</v>
      </c>
      <c r="K25" s="31"/>
      <c r="L25" s="31"/>
      <c r="N25" s="31"/>
      <c r="O25" s="31"/>
      <c r="Q25" s="31"/>
      <c r="R25" s="31"/>
    </row>
    <row r="26" spans="1:18" x14ac:dyDescent="0.25">
      <c r="A26" s="1" t="s">
        <v>109</v>
      </c>
      <c r="B26" t="s">
        <v>91</v>
      </c>
      <c r="C26" t="s">
        <v>47</v>
      </c>
      <c r="D26" s="15" t="s">
        <v>97</v>
      </c>
      <c r="E26" s="2" t="s">
        <v>98</v>
      </c>
      <c r="F26" s="2"/>
      <c r="G26" s="31">
        <v>62</v>
      </c>
      <c r="H26" s="31">
        <v>62</v>
      </c>
      <c r="I26" s="31">
        <v>62</v>
      </c>
      <c r="J26" s="57" t="s">
        <v>111</v>
      </c>
      <c r="K26" s="31"/>
      <c r="L26" s="31"/>
      <c r="N26" s="31"/>
      <c r="O26" s="31"/>
      <c r="Q26" s="31"/>
      <c r="R26" s="31"/>
    </row>
    <row r="27" spans="1:18" x14ac:dyDescent="0.25">
      <c r="A27" s="1" t="s">
        <v>109</v>
      </c>
      <c r="B27" t="s">
        <v>91</v>
      </c>
      <c r="C27" t="s">
        <v>71</v>
      </c>
      <c r="D27" s="20" t="s">
        <v>99</v>
      </c>
      <c r="E27" s="2" t="s">
        <v>100</v>
      </c>
      <c r="F27" s="2"/>
      <c r="O27" s="27"/>
    </row>
    <row r="28" spans="1:18" x14ac:dyDescent="0.25">
      <c r="A28" s="1" t="s">
        <v>109</v>
      </c>
      <c r="B28" t="s">
        <v>91</v>
      </c>
      <c r="C28" t="s">
        <v>71</v>
      </c>
      <c r="D28" s="25" t="s">
        <v>101</v>
      </c>
      <c r="E28" s="2" t="s">
        <v>71</v>
      </c>
      <c r="F28" s="2"/>
      <c r="G28" s="27">
        <v>0</v>
      </c>
      <c r="H28" s="27">
        <v>0</v>
      </c>
      <c r="I28" s="27">
        <v>0</v>
      </c>
      <c r="J28" s="27">
        <v>0</v>
      </c>
      <c r="K28" s="27">
        <v>0</v>
      </c>
      <c r="L28" s="27">
        <v>0</v>
      </c>
      <c r="M28" s="27">
        <v>0</v>
      </c>
      <c r="N28" s="27">
        <v>0</v>
      </c>
      <c r="O28" s="27">
        <v>0</v>
      </c>
    </row>
    <row r="29" spans="1:18" x14ac:dyDescent="0.25">
      <c r="A29" s="1" t="s">
        <v>109</v>
      </c>
      <c r="B29" t="s">
        <v>102</v>
      </c>
      <c r="C29" t="s">
        <v>47</v>
      </c>
      <c r="D29" s="22" t="s">
        <v>103</v>
      </c>
      <c r="E29" s="2" t="s">
        <v>66</v>
      </c>
      <c r="F29" s="2"/>
      <c r="G29" s="27">
        <v>17</v>
      </c>
      <c r="H29" s="27">
        <v>12</v>
      </c>
      <c r="I29" s="27">
        <v>16</v>
      </c>
      <c r="J29" s="27">
        <v>13</v>
      </c>
      <c r="K29" s="27">
        <v>12</v>
      </c>
      <c r="L29" s="27">
        <v>16</v>
      </c>
      <c r="M29" s="27">
        <v>7</v>
      </c>
      <c r="N29" s="27">
        <v>6</v>
      </c>
      <c r="O29" s="27">
        <v>13</v>
      </c>
    </row>
    <row r="30" spans="1:18" x14ac:dyDescent="0.25">
      <c r="A30" s="1" t="s">
        <v>109</v>
      </c>
      <c r="B30" t="s">
        <v>102</v>
      </c>
      <c r="C30" t="s">
        <v>47</v>
      </c>
      <c r="D30" s="22" t="s">
        <v>104</v>
      </c>
      <c r="E30" s="2" t="s">
        <v>66</v>
      </c>
      <c r="F30" s="2"/>
      <c r="G30" s="27">
        <v>2.95</v>
      </c>
      <c r="H30" s="27">
        <v>1.96</v>
      </c>
      <c r="I30" s="27">
        <v>2.2000000000000002</v>
      </c>
      <c r="J30" s="27">
        <v>2.68</v>
      </c>
      <c r="K30" s="27">
        <v>1.76</v>
      </c>
      <c r="L30" s="27">
        <v>2.12</v>
      </c>
      <c r="M30" s="27">
        <v>1.06</v>
      </c>
      <c r="N30" s="27">
        <v>1.28</v>
      </c>
      <c r="O30" s="27">
        <v>2.19</v>
      </c>
    </row>
    <row r="31" spans="1:18" x14ac:dyDescent="0.25">
      <c r="A31" s="1" t="s">
        <v>109</v>
      </c>
      <c r="B31" t="s">
        <v>102</v>
      </c>
      <c r="C31" t="s">
        <v>47</v>
      </c>
      <c r="D31" s="22" t="s">
        <v>105</v>
      </c>
      <c r="E31" s="2" t="s">
        <v>66</v>
      </c>
      <c r="F31" s="2"/>
      <c r="G31" s="27">
        <v>18</v>
      </c>
      <c r="H31" s="27">
        <v>12</v>
      </c>
      <c r="I31" s="27">
        <v>16</v>
      </c>
      <c r="J31" s="27">
        <v>13.5</v>
      </c>
      <c r="K31" s="27">
        <v>12</v>
      </c>
      <c r="L31" s="27">
        <v>16</v>
      </c>
      <c r="M31" s="27">
        <v>6</v>
      </c>
      <c r="N31" s="27">
        <v>6</v>
      </c>
      <c r="O31" s="27">
        <v>12</v>
      </c>
    </row>
    <row r="32" spans="1:18" x14ac:dyDescent="0.25">
      <c r="A32" s="1" t="s">
        <v>109</v>
      </c>
      <c r="B32" t="s">
        <v>102</v>
      </c>
      <c r="C32" t="s">
        <v>47</v>
      </c>
      <c r="D32" s="22" t="s">
        <v>106</v>
      </c>
      <c r="E32" s="2" t="s">
        <v>66</v>
      </c>
      <c r="F32" s="2"/>
      <c r="G32" s="27">
        <v>2.95</v>
      </c>
      <c r="H32" s="27">
        <v>1.93</v>
      </c>
      <c r="I32" s="27">
        <v>2.27</v>
      </c>
      <c r="J32" s="27">
        <v>2.74</v>
      </c>
      <c r="K32" s="27">
        <v>1.78</v>
      </c>
      <c r="L32" s="27">
        <v>2.15</v>
      </c>
      <c r="M32" s="27">
        <v>1.06</v>
      </c>
      <c r="N32" s="27">
        <v>1.33</v>
      </c>
      <c r="O32" s="27">
        <v>1.74</v>
      </c>
    </row>
    <row r="33" spans="1:45" x14ac:dyDescent="0.25">
      <c r="A33" s="1" t="s">
        <v>109</v>
      </c>
      <c r="B33" t="s">
        <v>102</v>
      </c>
      <c r="C33" t="s">
        <v>47</v>
      </c>
      <c r="D33" s="22" t="s">
        <v>107</v>
      </c>
      <c r="E33" s="2" t="s">
        <v>66</v>
      </c>
      <c r="F33" s="2"/>
      <c r="G33" s="27">
        <v>31</v>
      </c>
      <c r="H33" s="27">
        <v>55</v>
      </c>
      <c r="I33" s="27">
        <v>47</v>
      </c>
      <c r="J33" s="27">
        <v>71.5</v>
      </c>
      <c r="K33" s="27">
        <v>79</v>
      </c>
      <c r="L33" s="27">
        <v>53.5</v>
      </c>
      <c r="M33" s="27">
        <v>23</v>
      </c>
      <c r="N33" s="27">
        <v>40</v>
      </c>
      <c r="O33" s="27">
        <v>77</v>
      </c>
    </row>
    <row r="34" spans="1:45" x14ac:dyDescent="0.25">
      <c r="A34" s="1" t="s">
        <v>109</v>
      </c>
      <c r="B34" t="s">
        <v>102</v>
      </c>
      <c r="C34" t="s">
        <v>47</v>
      </c>
      <c r="D34" s="22" t="s">
        <v>108</v>
      </c>
      <c r="E34" s="2" t="s">
        <v>66</v>
      </c>
      <c r="F34" s="2"/>
      <c r="G34" s="27">
        <v>7.34</v>
      </c>
      <c r="H34" s="27">
        <v>11.97</v>
      </c>
      <c r="I34" s="27">
        <v>7.17</v>
      </c>
      <c r="J34" s="27">
        <v>15.71</v>
      </c>
      <c r="K34" s="27">
        <v>8.69</v>
      </c>
      <c r="L34" s="27">
        <v>8.6</v>
      </c>
      <c r="M34" s="27">
        <v>2.89</v>
      </c>
      <c r="N34" s="27">
        <v>6.77</v>
      </c>
      <c r="O34" s="27">
        <v>13.15</v>
      </c>
    </row>
    <row r="35" spans="1:45" ht="102" x14ac:dyDescent="0.25">
      <c r="A35" s="1" t="s">
        <v>109</v>
      </c>
      <c r="B35" t="s">
        <v>66</v>
      </c>
      <c r="C35" t="s">
        <v>66</v>
      </c>
      <c r="D35" s="22" t="s">
        <v>112</v>
      </c>
      <c r="E35" s="2" t="s">
        <v>66</v>
      </c>
      <c r="F35" s="90"/>
      <c r="G35" s="43"/>
      <c r="H35" s="43"/>
      <c r="I35" s="43"/>
      <c r="J35" s="43"/>
      <c r="K35" s="43"/>
      <c r="L35" s="43"/>
      <c r="M35" s="43"/>
      <c r="N35" s="43" t="s">
        <v>113</v>
      </c>
      <c r="O35" s="98" t="s">
        <v>114</v>
      </c>
      <c r="P35" s="43"/>
      <c r="Q35" s="43"/>
      <c r="R35" s="43"/>
      <c r="S35" s="43"/>
      <c r="T35" s="43"/>
      <c r="U35" s="43"/>
      <c r="V35" s="43"/>
      <c r="W35" s="43"/>
      <c r="X35" s="43"/>
      <c r="Y35" s="43"/>
      <c r="Z35" s="43"/>
      <c r="AA35" s="43"/>
      <c r="AB35" s="43"/>
      <c r="AC35" s="43"/>
      <c r="AD35" s="43"/>
      <c r="AE35" s="43"/>
      <c r="AF35" s="43"/>
      <c r="AG35" s="43"/>
      <c r="AH35" s="43"/>
      <c r="AI35" s="43"/>
      <c r="AJ35" s="12"/>
      <c r="AK35" s="12"/>
      <c r="AL35" s="12"/>
      <c r="AM35" s="12"/>
      <c r="AN35" s="12"/>
      <c r="AO35" s="12"/>
      <c r="AP35" s="12"/>
      <c r="AQ35" s="12"/>
      <c r="AR35" s="12"/>
      <c r="AS35" s="12"/>
    </row>
    <row r="36" spans="1:45" ht="113.25" x14ac:dyDescent="0.25">
      <c r="A36" s="1" t="s">
        <v>109</v>
      </c>
      <c r="B36" t="s">
        <v>66</v>
      </c>
      <c r="C36" t="s">
        <v>66</v>
      </c>
      <c r="D36" s="22" t="s">
        <v>115</v>
      </c>
      <c r="E36" s="2" t="s">
        <v>66</v>
      </c>
      <c r="F36" s="90"/>
      <c r="G36" s="43"/>
      <c r="H36" s="43"/>
      <c r="I36" s="43"/>
      <c r="J36" s="43"/>
      <c r="K36" s="43"/>
      <c r="L36" s="43"/>
      <c r="M36" s="43"/>
      <c r="N36" s="43" t="s">
        <v>116</v>
      </c>
      <c r="O36" s="98" t="s">
        <v>117</v>
      </c>
      <c r="P36" s="43"/>
      <c r="Q36" s="43"/>
      <c r="R36" s="43"/>
      <c r="S36" s="43"/>
      <c r="T36" s="43"/>
      <c r="U36" s="43"/>
      <c r="V36" s="43"/>
      <c r="W36" s="43"/>
      <c r="X36" s="43"/>
      <c r="Y36" s="43"/>
      <c r="Z36" s="43"/>
      <c r="AA36" s="43"/>
      <c r="AB36" s="43"/>
      <c r="AC36" s="43"/>
      <c r="AD36" s="43"/>
      <c r="AE36" s="43"/>
      <c r="AF36" s="43"/>
      <c r="AG36" s="43"/>
      <c r="AH36" s="43"/>
      <c r="AI36" s="43"/>
      <c r="AJ36" s="12"/>
      <c r="AK36" s="12"/>
      <c r="AL36" s="12"/>
      <c r="AM36" s="12"/>
      <c r="AN36" s="12"/>
      <c r="AO36" s="12"/>
      <c r="AP36" s="12"/>
      <c r="AQ36" s="12"/>
      <c r="AR36" s="12"/>
      <c r="AS36" s="12"/>
    </row>
    <row r="37" spans="1:45" s="17" customFormat="1" x14ac:dyDescent="0.25">
      <c r="A37" s="81" t="s">
        <v>109</v>
      </c>
      <c r="B37" s="17" t="s">
        <v>66</v>
      </c>
      <c r="C37" s="17" t="s">
        <v>66</v>
      </c>
      <c r="D37" s="24" t="s">
        <v>118</v>
      </c>
      <c r="E37" s="18" t="s">
        <v>66</v>
      </c>
      <c r="G37" s="56"/>
      <c r="H37" s="56"/>
      <c r="I37" s="56"/>
      <c r="J37" s="56"/>
      <c r="K37" s="56"/>
      <c r="L37" s="56"/>
      <c r="M37" s="56"/>
      <c r="N37" s="56"/>
      <c r="O37" s="41"/>
      <c r="P37" s="56"/>
      <c r="Q37" s="56"/>
      <c r="R37" s="56"/>
      <c r="S37" s="41"/>
      <c r="T37" s="41"/>
      <c r="U37" s="41"/>
      <c r="V37" s="41"/>
      <c r="W37" s="41"/>
      <c r="X37" s="41"/>
      <c r="Y37" s="41"/>
      <c r="Z37" s="41"/>
      <c r="AA37" s="41"/>
      <c r="AB37" s="41"/>
      <c r="AC37" s="41"/>
      <c r="AD37" s="41"/>
      <c r="AE37" s="41"/>
      <c r="AF37" s="41"/>
      <c r="AG37" s="41"/>
      <c r="AH37" s="41"/>
      <c r="AI37" s="41"/>
    </row>
    <row r="38" spans="1:45" ht="15.75" customHeight="1" x14ac:dyDescent="0.25">
      <c r="A38" s="1"/>
      <c r="D38" s="22"/>
      <c r="E38" s="2"/>
    </row>
    <row r="39" spans="1:45" x14ac:dyDescent="0.25">
      <c r="A39" s="1" t="s">
        <v>119</v>
      </c>
      <c r="B39" t="s">
        <v>46</v>
      </c>
      <c r="C39" t="s">
        <v>47</v>
      </c>
      <c r="D39" s="22" t="s">
        <v>48</v>
      </c>
      <c r="E39" s="2" t="s">
        <v>49</v>
      </c>
      <c r="F39" s="2"/>
      <c r="G39" s="27">
        <v>90</v>
      </c>
      <c r="H39" s="27">
        <v>75.400000000000006</v>
      </c>
      <c r="I39" s="27">
        <v>73.599999999999994</v>
      </c>
      <c r="J39" s="27">
        <v>95.3</v>
      </c>
      <c r="K39" s="27">
        <v>71</v>
      </c>
      <c r="L39" s="27">
        <v>67.3</v>
      </c>
      <c r="M39" s="27">
        <v>81.2</v>
      </c>
      <c r="N39" s="27">
        <v>89.7</v>
      </c>
      <c r="O39">
        <v>80</v>
      </c>
    </row>
    <row r="40" spans="1:45" x14ac:dyDescent="0.25">
      <c r="A40" s="1" t="s">
        <v>119</v>
      </c>
      <c r="B40" t="s">
        <v>46</v>
      </c>
      <c r="C40" t="s">
        <v>47</v>
      </c>
      <c r="D40" s="22" t="s">
        <v>50</v>
      </c>
      <c r="E40" s="2" t="s">
        <v>51</v>
      </c>
      <c r="F40" s="2"/>
      <c r="G40" s="27">
        <v>3.9</v>
      </c>
      <c r="H40" s="27">
        <v>6.48</v>
      </c>
      <c r="I40" s="27">
        <v>3.96</v>
      </c>
      <c r="J40" s="27">
        <v>5.26</v>
      </c>
      <c r="K40" s="27">
        <v>8</v>
      </c>
      <c r="L40" s="27">
        <v>4.5</v>
      </c>
      <c r="M40" s="27">
        <v>4.03</v>
      </c>
      <c r="N40" s="27">
        <v>6.04</v>
      </c>
      <c r="O40">
        <v>6.92</v>
      </c>
    </row>
    <row r="41" spans="1:45" x14ac:dyDescent="0.25">
      <c r="A41" s="1" t="s">
        <v>119</v>
      </c>
      <c r="B41" t="s">
        <v>46</v>
      </c>
      <c r="C41" t="s">
        <v>47</v>
      </c>
      <c r="D41" s="22" t="s">
        <v>52</v>
      </c>
      <c r="E41" s="2" t="s">
        <v>53</v>
      </c>
      <c r="F41" s="2"/>
      <c r="G41" s="27">
        <v>6</v>
      </c>
      <c r="H41" s="27">
        <v>7</v>
      </c>
      <c r="I41" s="27">
        <v>8</v>
      </c>
      <c r="J41" s="27">
        <v>9</v>
      </c>
      <c r="K41" s="27">
        <v>20</v>
      </c>
      <c r="L41" s="27">
        <v>9</v>
      </c>
      <c r="M41" s="27">
        <v>7</v>
      </c>
      <c r="N41" s="27">
        <v>3</v>
      </c>
      <c r="O41">
        <v>21</v>
      </c>
    </row>
    <row r="42" spans="1:45" x14ac:dyDescent="0.25">
      <c r="A42" s="1" t="s">
        <v>119</v>
      </c>
      <c r="B42" t="s">
        <v>46</v>
      </c>
      <c r="C42" t="s">
        <v>47</v>
      </c>
      <c r="D42" s="22" t="s">
        <v>54</v>
      </c>
      <c r="E42" s="2" t="s">
        <v>55</v>
      </c>
      <c r="F42" s="2"/>
      <c r="G42" s="27">
        <v>0</v>
      </c>
      <c r="H42" s="27">
        <v>0</v>
      </c>
      <c r="I42" s="27">
        <v>0</v>
      </c>
      <c r="J42" s="27">
        <v>0</v>
      </c>
      <c r="K42" s="27">
        <v>0</v>
      </c>
      <c r="L42" s="27">
        <v>0</v>
      </c>
      <c r="M42" s="27">
        <v>0</v>
      </c>
      <c r="N42" s="27">
        <v>0</v>
      </c>
      <c r="O42">
        <v>0</v>
      </c>
    </row>
    <row r="43" spans="1:45" x14ac:dyDescent="0.25">
      <c r="A43" s="1" t="s">
        <v>119</v>
      </c>
      <c r="B43" t="s">
        <v>56</v>
      </c>
      <c r="C43" t="s">
        <v>57</v>
      </c>
      <c r="D43" s="22" t="s">
        <v>58</v>
      </c>
      <c r="E43" s="13" t="s">
        <v>59</v>
      </c>
      <c r="F43" s="13"/>
      <c r="G43" s="27">
        <v>0</v>
      </c>
      <c r="H43" s="27">
        <v>0</v>
      </c>
      <c r="I43" s="27">
        <v>0</v>
      </c>
      <c r="J43" s="27">
        <v>0</v>
      </c>
      <c r="K43" s="27">
        <v>1</v>
      </c>
      <c r="L43" s="27">
        <v>0</v>
      </c>
      <c r="M43" s="27">
        <v>0</v>
      </c>
      <c r="N43" s="27">
        <v>0</v>
      </c>
      <c r="O43">
        <v>0</v>
      </c>
    </row>
    <row r="44" spans="1:45" x14ac:dyDescent="0.25">
      <c r="A44" s="1" t="s">
        <v>119</v>
      </c>
      <c r="B44" t="s">
        <v>56</v>
      </c>
      <c r="C44" t="s">
        <v>57</v>
      </c>
      <c r="D44" s="23" t="s">
        <v>60</v>
      </c>
      <c r="E44" s="13" t="s">
        <v>61</v>
      </c>
      <c r="F44" s="13"/>
      <c r="G44" s="27">
        <v>0</v>
      </c>
      <c r="H44" s="27">
        <v>0</v>
      </c>
      <c r="I44" s="27">
        <v>0</v>
      </c>
      <c r="J44" s="27">
        <v>0</v>
      </c>
      <c r="K44" s="27">
        <v>0</v>
      </c>
      <c r="L44" s="27">
        <v>0</v>
      </c>
      <c r="M44" s="27">
        <v>0</v>
      </c>
      <c r="N44" s="27">
        <v>0</v>
      </c>
      <c r="O44">
        <v>0</v>
      </c>
    </row>
    <row r="45" spans="1:45" x14ac:dyDescent="0.25">
      <c r="A45" s="1" t="s">
        <v>119</v>
      </c>
      <c r="B45" t="s">
        <v>56</v>
      </c>
      <c r="C45" t="s">
        <v>57</v>
      </c>
      <c r="D45" s="23" t="s">
        <v>62</v>
      </c>
      <c r="E45" s="13" t="s">
        <v>63</v>
      </c>
      <c r="F45" s="13"/>
      <c r="G45" s="27">
        <v>0</v>
      </c>
      <c r="H45" s="27">
        <v>1</v>
      </c>
      <c r="I45" s="27">
        <v>0</v>
      </c>
      <c r="J45" s="27">
        <v>0</v>
      </c>
      <c r="K45" s="27">
        <v>0</v>
      </c>
      <c r="L45" s="27">
        <v>0</v>
      </c>
      <c r="M45" s="27">
        <v>0</v>
      </c>
      <c r="N45" s="27">
        <v>0</v>
      </c>
      <c r="O45">
        <v>0</v>
      </c>
    </row>
    <row r="46" spans="1:45" ht="18" customHeight="1" x14ac:dyDescent="0.5">
      <c r="A46" s="1" t="s">
        <v>119</v>
      </c>
      <c r="B46" t="s">
        <v>56</v>
      </c>
      <c r="C46" t="s">
        <v>57</v>
      </c>
      <c r="D46" s="22" t="s">
        <v>64</v>
      </c>
      <c r="E46" s="2" t="s">
        <v>65</v>
      </c>
      <c r="F46" s="2"/>
      <c r="G46" s="27" t="s">
        <v>66</v>
      </c>
      <c r="H46" s="27" t="s">
        <v>66</v>
      </c>
      <c r="I46" s="27" t="s">
        <v>66</v>
      </c>
      <c r="J46" s="27" t="s">
        <v>66</v>
      </c>
      <c r="K46" s="58">
        <v>0.05</v>
      </c>
      <c r="L46" s="27" t="s">
        <v>66</v>
      </c>
      <c r="M46" s="27" t="s">
        <v>66</v>
      </c>
      <c r="N46" s="27" t="s">
        <v>66</v>
      </c>
      <c r="O46" t="s">
        <v>66</v>
      </c>
      <c r="R46" s="51"/>
    </row>
    <row r="47" spans="1:45" x14ac:dyDescent="0.25">
      <c r="A47" s="1" t="s">
        <v>119</v>
      </c>
      <c r="B47" t="s">
        <v>9</v>
      </c>
      <c r="C47" t="s">
        <v>67</v>
      </c>
      <c r="D47" s="22" t="s">
        <v>68</v>
      </c>
      <c r="E47" s="2" t="s">
        <v>69</v>
      </c>
      <c r="F47" s="2"/>
      <c r="G47" s="27">
        <v>23</v>
      </c>
      <c r="H47" s="27">
        <v>15</v>
      </c>
      <c r="I47" s="27">
        <v>11</v>
      </c>
      <c r="J47" s="27">
        <v>9</v>
      </c>
      <c r="K47" s="27">
        <v>4</v>
      </c>
      <c r="L47" s="27">
        <v>3</v>
      </c>
      <c r="M47" s="27">
        <v>4</v>
      </c>
      <c r="N47" s="27">
        <v>9</v>
      </c>
      <c r="O47">
        <v>2</v>
      </c>
    </row>
    <row r="48" spans="1:45" x14ac:dyDescent="0.25">
      <c r="A48" s="1" t="s">
        <v>119</v>
      </c>
      <c r="B48" t="s">
        <v>9</v>
      </c>
      <c r="C48" t="s">
        <v>67</v>
      </c>
      <c r="D48" s="22" t="s">
        <v>70</v>
      </c>
      <c r="E48" s="2" t="s">
        <v>69</v>
      </c>
      <c r="F48" s="2"/>
      <c r="G48" s="27">
        <v>13</v>
      </c>
      <c r="H48" s="27">
        <v>7</v>
      </c>
      <c r="I48" s="27">
        <v>9</v>
      </c>
      <c r="J48" s="27">
        <v>10</v>
      </c>
      <c r="K48" s="27">
        <v>6</v>
      </c>
      <c r="L48" s="27">
        <v>7</v>
      </c>
      <c r="M48" s="27">
        <v>10</v>
      </c>
      <c r="N48" s="27">
        <v>6</v>
      </c>
      <c r="O48">
        <v>7</v>
      </c>
    </row>
    <row r="49" spans="1:18" x14ac:dyDescent="0.25">
      <c r="A49" s="1" t="s">
        <v>119</v>
      </c>
      <c r="B49" t="s">
        <v>9</v>
      </c>
      <c r="C49" t="s">
        <v>71</v>
      </c>
      <c r="D49" s="20" t="s">
        <v>10</v>
      </c>
      <c r="E49" s="2" t="s">
        <v>11</v>
      </c>
      <c r="F49" s="2"/>
    </row>
    <row r="50" spans="1:18" x14ac:dyDescent="0.25">
      <c r="A50" s="1" t="s">
        <v>119</v>
      </c>
      <c r="B50" t="s">
        <v>9</v>
      </c>
      <c r="C50" t="s">
        <v>71</v>
      </c>
      <c r="D50" s="20" t="s">
        <v>72</v>
      </c>
      <c r="E50" s="2" t="s">
        <v>73</v>
      </c>
      <c r="F50" s="2"/>
    </row>
    <row r="51" spans="1:18" x14ac:dyDescent="0.25">
      <c r="A51" s="1" t="s">
        <v>119</v>
      </c>
      <c r="B51" t="s">
        <v>9</v>
      </c>
      <c r="C51" t="s">
        <v>71</v>
      </c>
      <c r="D51" s="20" t="s">
        <v>74</v>
      </c>
      <c r="E51" s="2" t="s">
        <v>71</v>
      </c>
      <c r="F51" s="2"/>
    </row>
    <row r="52" spans="1:18" x14ac:dyDescent="0.25">
      <c r="A52" s="1" t="s">
        <v>119</v>
      </c>
      <c r="B52" t="s">
        <v>9</v>
      </c>
      <c r="C52" t="s">
        <v>71</v>
      </c>
      <c r="D52" s="20" t="s">
        <v>75</v>
      </c>
      <c r="E52" s="2" t="s">
        <v>71</v>
      </c>
      <c r="F52" s="2"/>
    </row>
    <row r="53" spans="1:18" x14ac:dyDescent="0.25">
      <c r="A53" s="1" t="s">
        <v>119</v>
      </c>
      <c r="B53" t="s">
        <v>76</v>
      </c>
      <c r="C53" t="s">
        <v>67</v>
      </c>
      <c r="D53" s="22" t="s">
        <v>77</v>
      </c>
      <c r="E53" s="2" t="s">
        <v>78</v>
      </c>
      <c r="F53" s="2"/>
      <c r="G53" s="27">
        <v>0</v>
      </c>
      <c r="H53" s="27">
        <v>16.7</v>
      </c>
      <c r="I53" s="27">
        <v>85.7</v>
      </c>
      <c r="J53" s="27">
        <v>40</v>
      </c>
      <c r="K53" s="27">
        <v>60</v>
      </c>
      <c r="L53" s="27">
        <v>100</v>
      </c>
      <c r="M53" s="27">
        <v>0</v>
      </c>
      <c r="N53" s="27">
        <v>50</v>
      </c>
      <c r="O53">
        <v>100</v>
      </c>
    </row>
    <row r="54" spans="1:18" x14ac:dyDescent="0.25">
      <c r="A54" s="1" t="s">
        <v>119</v>
      </c>
      <c r="B54" t="s">
        <v>76</v>
      </c>
      <c r="C54" t="s">
        <v>47</v>
      </c>
      <c r="D54" s="22" t="s">
        <v>79</v>
      </c>
      <c r="E54" s="2" t="s">
        <v>80</v>
      </c>
      <c r="F54" s="2"/>
      <c r="G54" s="27">
        <v>85</v>
      </c>
      <c r="H54" s="27">
        <v>76</v>
      </c>
      <c r="I54" s="27">
        <v>88</v>
      </c>
      <c r="J54" s="27">
        <v>67</v>
      </c>
      <c r="K54" s="27">
        <v>63</v>
      </c>
      <c r="L54" s="27">
        <v>56</v>
      </c>
      <c r="M54" s="27">
        <v>71</v>
      </c>
      <c r="N54" s="27">
        <v>78</v>
      </c>
      <c r="O54">
        <v>69</v>
      </c>
    </row>
    <row r="55" spans="1:18" x14ac:dyDescent="0.25">
      <c r="A55" s="1" t="s">
        <v>119</v>
      </c>
      <c r="B55" t="s">
        <v>76</v>
      </c>
      <c r="C55" t="s">
        <v>47</v>
      </c>
      <c r="D55" s="22" t="s">
        <v>81</v>
      </c>
      <c r="E55" s="2" t="s">
        <v>82</v>
      </c>
      <c r="F55" s="2"/>
      <c r="G55" s="27">
        <v>9</v>
      </c>
      <c r="H55" s="27">
        <v>9</v>
      </c>
      <c r="I55" s="27">
        <v>10</v>
      </c>
      <c r="J55" s="27">
        <v>22</v>
      </c>
      <c r="K55" s="27">
        <v>17</v>
      </c>
      <c r="L55" s="27">
        <v>19</v>
      </c>
      <c r="M55" s="27">
        <v>14</v>
      </c>
      <c r="N55" s="27">
        <v>4</v>
      </c>
      <c r="O55">
        <v>18</v>
      </c>
    </row>
    <row r="56" spans="1:18" x14ac:dyDescent="0.25">
      <c r="A56" s="1" t="s">
        <v>119</v>
      </c>
      <c r="B56" t="s">
        <v>76</v>
      </c>
      <c r="C56" t="s">
        <v>47</v>
      </c>
      <c r="D56" s="22" t="s">
        <v>83</v>
      </c>
      <c r="E56" s="2" t="s">
        <v>84</v>
      </c>
      <c r="F56" s="2"/>
      <c r="G56" s="27">
        <v>6</v>
      </c>
      <c r="H56" s="27">
        <v>15</v>
      </c>
      <c r="I56" s="27">
        <v>2</v>
      </c>
      <c r="J56" s="27">
        <v>11</v>
      </c>
      <c r="K56" s="27">
        <v>20</v>
      </c>
      <c r="L56" s="27">
        <v>25</v>
      </c>
      <c r="M56" s="27">
        <v>15</v>
      </c>
      <c r="N56" s="27">
        <v>18</v>
      </c>
      <c r="O56">
        <v>13</v>
      </c>
    </row>
    <row r="57" spans="1:18" x14ac:dyDescent="0.25">
      <c r="A57" s="1" t="s">
        <v>119</v>
      </c>
      <c r="B57" t="s">
        <v>76</v>
      </c>
      <c r="C57" t="s">
        <v>47</v>
      </c>
      <c r="D57" s="22" t="s">
        <v>85</v>
      </c>
      <c r="E57" s="2" t="s">
        <v>66</v>
      </c>
      <c r="F57" s="2"/>
      <c r="G57" s="27">
        <v>0</v>
      </c>
      <c r="H57" s="27">
        <v>0</v>
      </c>
      <c r="I57" s="27">
        <v>0</v>
      </c>
      <c r="J57" s="27">
        <v>0</v>
      </c>
      <c r="K57" s="27">
        <v>0</v>
      </c>
      <c r="L57" s="27">
        <v>0</v>
      </c>
      <c r="M57" s="27">
        <v>0</v>
      </c>
      <c r="N57" s="27">
        <v>0</v>
      </c>
      <c r="O57">
        <v>0</v>
      </c>
    </row>
    <row r="58" spans="1:18" x14ac:dyDescent="0.25">
      <c r="A58" s="1" t="s">
        <v>119</v>
      </c>
      <c r="B58" t="s">
        <v>76</v>
      </c>
      <c r="C58" t="s">
        <v>71</v>
      </c>
      <c r="D58" s="20" t="s">
        <v>86</v>
      </c>
      <c r="E58" s="2" t="s">
        <v>87</v>
      </c>
      <c r="F58" s="2"/>
    </row>
    <row r="59" spans="1:18" x14ac:dyDescent="0.25">
      <c r="A59" s="1" t="s">
        <v>119</v>
      </c>
      <c r="B59" t="s">
        <v>76</v>
      </c>
      <c r="C59" t="s">
        <v>71</v>
      </c>
      <c r="D59" s="20" t="s">
        <v>89</v>
      </c>
      <c r="E59" s="2" t="s">
        <v>90</v>
      </c>
      <c r="F59" s="2"/>
    </row>
    <row r="60" spans="1:18" x14ac:dyDescent="0.25">
      <c r="A60" s="1" t="s">
        <v>119</v>
      </c>
      <c r="B60" t="s">
        <v>91</v>
      </c>
      <c r="C60" t="s">
        <v>47</v>
      </c>
      <c r="D60" s="15" t="s">
        <v>92</v>
      </c>
      <c r="E60" s="2" t="s">
        <v>93</v>
      </c>
      <c r="F60" s="2"/>
      <c r="G60" s="31"/>
      <c r="H60" s="31">
        <v>50</v>
      </c>
      <c r="I60" s="31">
        <v>54</v>
      </c>
      <c r="K60" s="31"/>
      <c r="L60" s="31"/>
      <c r="N60" s="31"/>
      <c r="O60" s="15"/>
      <c r="Q60" s="31"/>
      <c r="R60" s="31"/>
    </row>
    <row r="61" spans="1:18" x14ac:dyDescent="0.25">
      <c r="A61" s="1" t="s">
        <v>119</v>
      </c>
      <c r="B61" t="s">
        <v>91</v>
      </c>
      <c r="C61" t="s">
        <v>47</v>
      </c>
      <c r="D61" s="15" t="s">
        <v>94</v>
      </c>
      <c r="E61" s="2" t="s">
        <v>71</v>
      </c>
      <c r="F61" s="2"/>
      <c r="G61" s="31"/>
      <c r="H61" s="31">
        <v>39</v>
      </c>
      <c r="I61" s="31">
        <v>54</v>
      </c>
      <c r="K61" s="31"/>
      <c r="L61" s="31"/>
      <c r="N61" s="31"/>
      <c r="O61" s="15"/>
      <c r="Q61" s="31"/>
      <c r="R61" s="31"/>
    </row>
    <row r="62" spans="1:18" x14ac:dyDescent="0.25">
      <c r="A62" s="1" t="s">
        <v>119</v>
      </c>
      <c r="B62" t="s">
        <v>91</v>
      </c>
      <c r="C62" t="s">
        <v>47</v>
      </c>
      <c r="D62" s="15" t="s">
        <v>95</v>
      </c>
      <c r="E62" s="2" t="s">
        <v>96</v>
      </c>
      <c r="F62" s="2"/>
      <c r="G62" s="31"/>
      <c r="H62" s="31">
        <v>50</v>
      </c>
      <c r="I62" s="31">
        <v>67</v>
      </c>
      <c r="K62" s="31"/>
      <c r="L62" s="31"/>
      <c r="N62" s="31"/>
      <c r="O62" s="15"/>
      <c r="Q62" s="31"/>
      <c r="R62" s="31"/>
    </row>
    <row r="63" spans="1:18" x14ac:dyDescent="0.25">
      <c r="A63" s="1" t="s">
        <v>119</v>
      </c>
      <c r="B63" t="s">
        <v>91</v>
      </c>
      <c r="C63" t="s">
        <v>47</v>
      </c>
      <c r="D63" s="15" t="s">
        <v>97</v>
      </c>
      <c r="E63" s="2" t="s">
        <v>98</v>
      </c>
      <c r="F63" s="2"/>
      <c r="G63" s="31"/>
      <c r="H63" s="31">
        <v>42</v>
      </c>
      <c r="I63" s="31">
        <v>33</v>
      </c>
      <c r="K63" s="31"/>
      <c r="L63" s="31"/>
      <c r="N63" s="31"/>
      <c r="O63" s="15"/>
      <c r="Q63" s="31"/>
      <c r="R63" s="31"/>
    </row>
    <row r="64" spans="1:18" x14ac:dyDescent="0.25">
      <c r="A64" s="1" t="s">
        <v>119</v>
      </c>
      <c r="B64" t="s">
        <v>91</v>
      </c>
      <c r="C64" t="s">
        <v>71</v>
      </c>
      <c r="D64" s="20" t="s">
        <v>99</v>
      </c>
      <c r="E64" s="2" t="s">
        <v>100</v>
      </c>
      <c r="F64" s="2"/>
    </row>
    <row r="65" spans="1:72" x14ac:dyDescent="0.25">
      <c r="A65" s="1" t="s">
        <v>119</v>
      </c>
      <c r="B65" t="s">
        <v>91</v>
      </c>
      <c r="C65" t="s">
        <v>71</v>
      </c>
      <c r="D65" t="s">
        <v>101</v>
      </c>
      <c r="E65" s="2" t="s">
        <v>71</v>
      </c>
      <c r="F65" s="2"/>
      <c r="G65" s="27">
        <v>0</v>
      </c>
      <c r="H65" s="27">
        <v>0</v>
      </c>
      <c r="I65" s="27">
        <v>0</v>
      </c>
      <c r="J65" s="27">
        <v>0</v>
      </c>
      <c r="K65" s="27">
        <v>0</v>
      </c>
      <c r="L65" s="27">
        <v>0</v>
      </c>
      <c r="M65" s="27">
        <v>0</v>
      </c>
      <c r="N65" s="27">
        <v>0</v>
      </c>
      <c r="O65">
        <v>0</v>
      </c>
    </row>
    <row r="66" spans="1:72" x14ac:dyDescent="0.25">
      <c r="A66" s="1" t="s">
        <v>119</v>
      </c>
      <c r="B66" t="s">
        <v>102</v>
      </c>
      <c r="C66" t="s">
        <v>47</v>
      </c>
      <c r="D66" s="22" t="s">
        <v>103</v>
      </c>
      <c r="E66" s="2" t="s">
        <v>66</v>
      </c>
      <c r="F66" s="2"/>
      <c r="G66" s="27">
        <v>35</v>
      </c>
      <c r="H66" s="27">
        <v>23</v>
      </c>
      <c r="I66" s="27">
        <v>34</v>
      </c>
      <c r="J66" s="27">
        <v>33</v>
      </c>
      <c r="K66" s="27">
        <v>22</v>
      </c>
      <c r="L66" s="27">
        <v>26</v>
      </c>
      <c r="M66" s="27">
        <v>29</v>
      </c>
      <c r="N66" s="27">
        <v>43</v>
      </c>
      <c r="O66">
        <v>51</v>
      </c>
    </row>
    <row r="67" spans="1:72" x14ac:dyDescent="0.25">
      <c r="A67" s="1" t="s">
        <v>119</v>
      </c>
      <c r="B67" t="s">
        <v>102</v>
      </c>
      <c r="C67" t="s">
        <v>47</v>
      </c>
      <c r="D67" s="22" t="s">
        <v>104</v>
      </c>
      <c r="E67" s="2" t="s">
        <v>66</v>
      </c>
      <c r="F67" s="2"/>
      <c r="G67" s="27">
        <v>3.73</v>
      </c>
      <c r="H67" s="27">
        <v>2.96</v>
      </c>
      <c r="I67" s="27">
        <v>3.64</v>
      </c>
      <c r="J67" s="27">
        <v>3.85</v>
      </c>
      <c r="K67" s="27">
        <v>2.69</v>
      </c>
      <c r="L67" s="27">
        <v>2.8</v>
      </c>
      <c r="M67" s="27">
        <v>2.73</v>
      </c>
      <c r="N67" s="27">
        <v>4.47</v>
      </c>
      <c r="O67">
        <v>5.26</v>
      </c>
    </row>
    <row r="68" spans="1:72" x14ac:dyDescent="0.25">
      <c r="A68" s="1" t="s">
        <v>119</v>
      </c>
      <c r="B68" t="s">
        <v>102</v>
      </c>
      <c r="C68" t="s">
        <v>47</v>
      </c>
      <c r="D68" s="22" t="s">
        <v>105</v>
      </c>
      <c r="E68" s="2" t="s">
        <v>66</v>
      </c>
      <c r="F68" s="2"/>
      <c r="G68" s="27">
        <v>49</v>
      </c>
      <c r="H68" s="27">
        <v>24</v>
      </c>
      <c r="I68" s="27">
        <v>37.5</v>
      </c>
      <c r="J68" s="27">
        <v>35</v>
      </c>
      <c r="K68" s="27">
        <v>31</v>
      </c>
      <c r="L68" s="27">
        <v>26</v>
      </c>
      <c r="M68" s="27">
        <v>32</v>
      </c>
      <c r="N68" s="27">
        <v>43</v>
      </c>
      <c r="O68">
        <v>50</v>
      </c>
    </row>
    <row r="69" spans="1:72" x14ac:dyDescent="0.25">
      <c r="A69" s="1" t="s">
        <v>119</v>
      </c>
      <c r="B69" t="s">
        <v>102</v>
      </c>
      <c r="C69" t="s">
        <v>47</v>
      </c>
      <c r="D69" s="22" t="s">
        <v>106</v>
      </c>
      <c r="E69" s="2" t="s">
        <v>66</v>
      </c>
      <c r="F69" s="2"/>
      <c r="G69" s="27">
        <v>4.72</v>
      </c>
      <c r="H69" s="27">
        <v>2.76</v>
      </c>
      <c r="I69" s="27">
        <v>3.67</v>
      </c>
      <c r="J69" s="27">
        <v>3.99</v>
      </c>
      <c r="K69" s="27">
        <v>2.64</v>
      </c>
      <c r="L69" s="27">
        <v>2.97</v>
      </c>
      <c r="M69" s="27">
        <v>2.93</v>
      </c>
      <c r="N69" s="27">
        <v>4.0999999999999996</v>
      </c>
      <c r="O69">
        <v>5.0599999999999996</v>
      </c>
    </row>
    <row r="70" spans="1:72" x14ac:dyDescent="0.25">
      <c r="A70" s="1" t="s">
        <v>119</v>
      </c>
      <c r="B70" t="s">
        <v>102</v>
      </c>
      <c r="C70" t="s">
        <v>47</v>
      </c>
      <c r="D70" s="22" t="s">
        <v>107</v>
      </c>
      <c r="E70" s="2" t="s">
        <v>66</v>
      </c>
      <c r="F70" s="2"/>
      <c r="G70" s="27">
        <v>2</v>
      </c>
      <c r="H70" s="27">
        <v>1</v>
      </c>
      <c r="I70" s="27">
        <v>5</v>
      </c>
      <c r="J70" s="27">
        <v>5</v>
      </c>
      <c r="K70" s="27">
        <v>6</v>
      </c>
      <c r="L70" s="27">
        <v>10</v>
      </c>
      <c r="M70" s="27">
        <v>4</v>
      </c>
      <c r="N70" s="27">
        <v>12</v>
      </c>
      <c r="O70">
        <v>9</v>
      </c>
    </row>
    <row r="71" spans="1:72" x14ac:dyDescent="0.25">
      <c r="A71" s="1" t="s">
        <v>119</v>
      </c>
      <c r="B71" t="s">
        <v>102</v>
      </c>
      <c r="C71" t="s">
        <v>47</v>
      </c>
      <c r="D71" s="22" t="s">
        <v>108</v>
      </c>
      <c r="E71" s="2" t="s">
        <v>66</v>
      </c>
      <c r="F71" s="2"/>
      <c r="G71" s="27">
        <v>0.15</v>
      </c>
      <c r="H71" s="27">
        <v>7.0000000000000007E-2</v>
      </c>
      <c r="I71" s="27">
        <v>0.48</v>
      </c>
      <c r="J71" s="27">
        <v>0.41</v>
      </c>
      <c r="K71" s="27">
        <v>0.42</v>
      </c>
      <c r="L71" s="27">
        <v>0.98</v>
      </c>
      <c r="M71" s="27">
        <v>0.5</v>
      </c>
      <c r="N71" s="27">
        <v>0.9</v>
      </c>
      <c r="O71">
        <v>0.82</v>
      </c>
    </row>
    <row r="72" spans="1:72" ht="169.5" x14ac:dyDescent="0.25">
      <c r="A72" s="1" t="s">
        <v>119</v>
      </c>
      <c r="B72" t="s">
        <v>66</v>
      </c>
      <c r="C72" t="s">
        <v>66</v>
      </c>
      <c r="D72" s="22" t="s">
        <v>112</v>
      </c>
      <c r="E72" s="2" t="s">
        <v>66</v>
      </c>
      <c r="F72" s="2"/>
      <c r="G72" s="43"/>
      <c r="H72" s="43"/>
      <c r="I72" s="43"/>
      <c r="J72" s="43"/>
      <c r="K72" s="43"/>
      <c r="L72" s="43"/>
      <c r="M72" s="43"/>
      <c r="N72" s="43" t="s">
        <v>120</v>
      </c>
      <c r="O72" s="102" t="s">
        <v>121</v>
      </c>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row>
    <row r="73" spans="1:72" ht="180.75" x14ac:dyDescent="0.25">
      <c r="A73" s="1" t="s">
        <v>119</v>
      </c>
      <c r="B73" t="s">
        <v>66</v>
      </c>
      <c r="C73" t="s">
        <v>66</v>
      </c>
      <c r="D73" s="22" t="s">
        <v>115</v>
      </c>
      <c r="E73" s="2" t="s">
        <v>66</v>
      </c>
      <c r="F73" s="2"/>
      <c r="G73" s="43"/>
      <c r="H73" s="43"/>
      <c r="I73" s="43"/>
      <c r="J73" s="43"/>
      <c r="K73" s="43"/>
      <c r="L73" s="43"/>
      <c r="M73" s="43"/>
      <c r="N73" s="101" t="s">
        <v>122</v>
      </c>
      <c r="O73" s="102" t="s">
        <v>123</v>
      </c>
      <c r="P73" s="43"/>
      <c r="Q73" s="43"/>
      <c r="R73" s="43"/>
      <c r="S73" s="43"/>
      <c r="T73" s="43"/>
      <c r="U73" s="43"/>
      <c r="V73" s="43"/>
      <c r="W73" s="43"/>
      <c r="X73" s="43"/>
      <c r="Y73" s="43"/>
      <c r="Z73" s="43"/>
      <c r="AA73" s="43"/>
      <c r="AB73" s="43"/>
      <c r="AC73" s="43"/>
      <c r="AD73" s="43"/>
      <c r="AE73" s="43"/>
      <c r="AF73" s="43"/>
      <c r="AG73" s="43"/>
      <c r="AH73" s="43"/>
      <c r="AI73" s="43"/>
      <c r="AJ73" s="43"/>
      <c r="AK73" s="43"/>
      <c r="AL73" s="43"/>
      <c r="AM73" s="43"/>
      <c r="AN73" s="43"/>
      <c r="AO73" s="43"/>
      <c r="AP73" s="43"/>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row>
    <row r="74" spans="1:72" s="17" customFormat="1" x14ac:dyDescent="0.25">
      <c r="A74" s="81" t="s">
        <v>119</v>
      </c>
      <c r="B74" s="17" t="s">
        <v>66</v>
      </c>
      <c r="C74" s="17" t="s">
        <v>66</v>
      </c>
      <c r="D74" s="24" t="s">
        <v>118</v>
      </c>
      <c r="E74" s="18" t="s">
        <v>66</v>
      </c>
      <c r="F74" s="18"/>
      <c r="G74" s="91"/>
      <c r="H74" s="91"/>
      <c r="I74" s="91"/>
      <c r="J74" s="91"/>
      <c r="K74" s="91"/>
      <c r="L74" s="91"/>
      <c r="M74" s="91"/>
      <c r="N74" s="91"/>
      <c r="O74" s="4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2"/>
      <c r="AR74" s="92"/>
      <c r="AS74" s="92"/>
      <c r="AT74" s="92"/>
      <c r="AU74" s="92"/>
      <c r="AV74" s="92"/>
      <c r="AW74" s="92"/>
      <c r="AX74" s="92"/>
      <c r="AY74" s="92"/>
      <c r="AZ74" s="92"/>
      <c r="BA74" s="92"/>
      <c r="BB74" s="92"/>
      <c r="BC74" s="92"/>
      <c r="BD74" s="92"/>
      <c r="BE74" s="92"/>
      <c r="BF74" s="92"/>
      <c r="BG74" s="92"/>
      <c r="BH74" s="92"/>
      <c r="BI74" s="92"/>
      <c r="BJ74" s="92"/>
      <c r="BK74" s="92"/>
      <c r="BL74" s="92"/>
      <c r="BM74" s="92"/>
      <c r="BN74" s="92"/>
      <c r="BO74" s="92"/>
      <c r="BP74" s="92"/>
      <c r="BQ74" s="92"/>
      <c r="BR74" s="92"/>
      <c r="BS74" s="92"/>
      <c r="BT74" s="92"/>
    </row>
    <row r="75" spans="1:72" x14ac:dyDescent="0.25">
      <c r="A75" s="1"/>
      <c r="D75" s="22"/>
      <c r="E75" s="2"/>
      <c r="F75" s="2"/>
    </row>
    <row r="76" spans="1:72" s="66" customFormat="1" x14ac:dyDescent="0.25">
      <c r="A76" s="65" t="s">
        <v>124</v>
      </c>
      <c r="B76" s="66" t="s">
        <v>46</v>
      </c>
      <c r="C76" s="66" t="s">
        <v>47</v>
      </c>
      <c r="D76" s="67" t="s">
        <v>48</v>
      </c>
      <c r="E76" s="2" t="s">
        <v>49</v>
      </c>
      <c r="F76" s="2"/>
      <c r="G76" s="2" t="s">
        <v>125</v>
      </c>
      <c r="H76" s="2">
        <v>44.6</v>
      </c>
      <c r="I76" s="2">
        <v>34.700000000000003</v>
      </c>
      <c r="J76" s="2">
        <v>15.5</v>
      </c>
      <c r="K76" s="2">
        <v>52.7</v>
      </c>
      <c r="L76" s="2">
        <v>96.3</v>
      </c>
      <c r="M76" s="2">
        <v>78.900000000000006</v>
      </c>
      <c r="N76" s="2">
        <v>100</v>
      </c>
      <c r="O76" s="2">
        <v>71.2</v>
      </c>
      <c r="P76" s="2"/>
      <c r="Q76" s="2"/>
      <c r="R76" s="2"/>
    </row>
    <row r="77" spans="1:72" s="66" customFormat="1" x14ac:dyDescent="0.25">
      <c r="A77" s="65" t="s">
        <v>124</v>
      </c>
      <c r="B77" s="66" t="s">
        <v>46</v>
      </c>
      <c r="C77" s="66" t="s">
        <v>47</v>
      </c>
      <c r="D77" s="67" t="s">
        <v>50</v>
      </c>
      <c r="E77" s="2" t="s">
        <v>51</v>
      </c>
      <c r="F77" s="2"/>
      <c r="G77" s="2" t="s">
        <v>125</v>
      </c>
      <c r="H77" s="2">
        <v>3.08</v>
      </c>
      <c r="I77" s="2">
        <v>26.31</v>
      </c>
      <c r="J77" s="2">
        <v>4</v>
      </c>
      <c r="K77" s="2">
        <v>6.74</v>
      </c>
      <c r="L77" s="2">
        <v>4.45</v>
      </c>
      <c r="M77" s="2">
        <v>4.37</v>
      </c>
      <c r="N77" s="2">
        <v>2.31</v>
      </c>
      <c r="O77" s="2">
        <v>2.1800000000000002</v>
      </c>
      <c r="P77" s="2"/>
      <c r="Q77" s="2"/>
      <c r="R77" s="2"/>
    </row>
    <row r="78" spans="1:72" s="66" customFormat="1" x14ac:dyDescent="0.25">
      <c r="A78" s="65" t="s">
        <v>124</v>
      </c>
      <c r="B78" s="66" t="s">
        <v>46</v>
      </c>
      <c r="C78" s="66" t="s">
        <v>47</v>
      </c>
      <c r="D78" s="67" t="s">
        <v>52</v>
      </c>
      <c r="E78" s="2" t="s">
        <v>53</v>
      </c>
      <c r="F78" s="2"/>
      <c r="G78" s="2" t="s">
        <v>125</v>
      </c>
      <c r="H78" s="2">
        <v>54</v>
      </c>
      <c r="I78" s="2">
        <v>25</v>
      </c>
      <c r="J78" s="2">
        <v>13</v>
      </c>
      <c r="K78" s="2">
        <v>2</v>
      </c>
      <c r="L78" s="2">
        <v>9</v>
      </c>
      <c r="M78" s="2">
        <v>38</v>
      </c>
      <c r="N78" s="2">
        <v>36</v>
      </c>
      <c r="O78" s="2">
        <v>1</v>
      </c>
      <c r="P78" s="2"/>
      <c r="Q78" s="2"/>
      <c r="R78" s="2"/>
    </row>
    <row r="79" spans="1:72" s="66" customFormat="1" x14ac:dyDescent="0.25">
      <c r="A79" s="65" t="s">
        <v>124</v>
      </c>
      <c r="B79" s="66" t="s">
        <v>46</v>
      </c>
      <c r="C79" s="66" t="s">
        <v>47</v>
      </c>
      <c r="D79" s="67" t="s">
        <v>54</v>
      </c>
      <c r="E79" s="2" t="s">
        <v>55</v>
      </c>
      <c r="F79" s="2"/>
      <c r="G79" s="2" t="s">
        <v>125</v>
      </c>
      <c r="H79" s="2">
        <v>0</v>
      </c>
      <c r="I79" s="2">
        <v>0</v>
      </c>
      <c r="J79" s="2">
        <v>0</v>
      </c>
      <c r="K79" s="2">
        <v>0</v>
      </c>
      <c r="L79" s="2">
        <v>0</v>
      </c>
      <c r="M79" s="2">
        <v>0</v>
      </c>
      <c r="N79" s="2">
        <v>0</v>
      </c>
      <c r="O79" s="2">
        <v>0</v>
      </c>
      <c r="P79" s="2"/>
      <c r="Q79" s="2"/>
      <c r="R79" s="2"/>
    </row>
    <row r="80" spans="1:72" s="66" customFormat="1" x14ac:dyDescent="0.25">
      <c r="A80" s="65" t="s">
        <v>124</v>
      </c>
      <c r="B80" s="66" t="s">
        <v>56</v>
      </c>
      <c r="C80" s="66" t="s">
        <v>57</v>
      </c>
      <c r="D80" s="67" t="s">
        <v>58</v>
      </c>
      <c r="E80" s="13" t="s">
        <v>59</v>
      </c>
      <c r="F80" s="13"/>
      <c r="G80" s="2">
        <v>0</v>
      </c>
      <c r="H80" s="2">
        <v>0</v>
      </c>
      <c r="I80" s="2">
        <v>0</v>
      </c>
      <c r="J80" s="2">
        <v>0</v>
      </c>
      <c r="K80" s="2">
        <v>0</v>
      </c>
      <c r="L80" s="2">
        <v>0</v>
      </c>
      <c r="M80" s="2">
        <v>0</v>
      </c>
      <c r="N80" s="2">
        <v>0</v>
      </c>
      <c r="O80" s="2">
        <v>0</v>
      </c>
      <c r="P80" s="2"/>
      <c r="Q80" s="2"/>
      <c r="R80" s="2"/>
    </row>
    <row r="81" spans="1:18" s="66" customFormat="1" x14ac:dyDescent="0.25">
      <c r="A81" s="65" t="s">
        <v>124</v>
      </c>
      <c r="B81" s="66" t="s">
        <v>56</v>
      </c>
      <c r="C81" s="66" t="s">
        <v>57</v>
      </c>
      <c r="D81" s="68" t="s">
        <v>60</v>
      </c>
      <c r="E81" s="13" t="s">
        <v>61</v>
      </c>
      <c r="F81" s="13"/>
      <c r="G81" s="2">
        <v>0</v>
      </c>
      <c r="H81" s="2">
        <v>0</v>
      </c>
      <c r="I81" s="2">
        <v>0</v>
      </c>
      <c r="J81" s="2">
        <v>0</v>
      </c>
      <c r="K81" s="2">
        <v>0</v>
      </c>
      <c r="L81" s="2">
        <v>0</v>
      </c>
      <c r="M81" s="2">
        <v>0</v>
      </c>
      <c r="N81" s="2">
        <v>0</v>
      </c>
      <c r="O81" s="2">
        <v>0</v>
      </c>
      <c r="P81" s="2"/>
      <c r="Q81" s="2"/>
      <c r="R81" s="2"/>
    </row>
    <row r="82" spans="1:18" s="66" customFormat="1" x14ac:dyDescent="0.25">
      <c r="A82" s="65" t="s">
        <v>124</v>
      </c>
      <c r="B82" s="66" t="s">
        <v>56</v>
      </c>
      <c r="C82" s="66" t="s">
        <v>57</v>
      </c>
      <c r="D82" s="68" t="s">
        <v>62</v>
      </c>
      <c r="E82" s="13" t="s">
        <v>63</v>
      </c>
      <c r="F82" s="13"/>
      <c r="G82" s="2">
        <v>0</v>
      </c>
      <c r="H82" s="2">
        <v>1</v>
      </c>
      <c r="I82" s="2">
        <v>0</v>
      </c>
      <c r="J82" s="2">
        <v>0</v>
      </c>
      <c r="K82" s="2">
        <v>0</v>
      </c>
      <c r="L82" s="2">
        <v>0</v>
      </c>
      <c r="M82" s="2">
        <v>0</v>
      </c>
      <c r="N82" s="2">
        <v>1</v>
      </c>
      <c r="O82" s="2">
        <v>1</v>
      </c>
      <c r="P82" s="2"/>
      <c r="Q82" s="2"/>
      <c r="R82" s="2"/>
    </row>
    <row r="83" spans="1:18" s="66" customFormat="1" ht="15.75" customHeight="1" x14ac:dyDescent="0.25">
      <c r="A83" s="65" t="s">
        <v>124</v>
      </c>
      <c r="B83" s="66" t="s">
        <v>56</v>
      </c>
      <c r="C83" s="66" t="s">
        <v>57</v>
      </c>
      <c r="D83" s="67" t="s">
        <v>64</v>
      </c>
      <c r="E83" s="2" t="s">
        <v>65</v>
      </c>
      <c r="F83" s="2"/>
      <c r="G83" s="2" t="s">
        <v>110</v>
      </c>
      <c r="H83" s="2" t="s">
        <v>110</v>
      </c>
      <c r="I83" s="2" t="s">
        <v>110</v>
      </c>
      <c r="J83" s="2" t="s">
        <v>110</v>
      </c>
      <c r="K83" s="2" t="s">
        <v>110</v>
      </c>
      <c r="L83" s="2" t="s">
        <v>110</v>
      </c>
      <c r="M83" s="2" t="s">
        <v>110</v>
      </c>
      <c r="N83" s="2" t="s">
        <v>66</v>
      </c>
      <c r="O83" s="2" t="s">
        <v>66</v>
      </c>
      <c r="P83" s="2"/>
      <c r="Q83" s="2"/>
      <c r="R83" s="69"/>
    </row>
    <row r="84" spans="1:18" s="66" customFormat="1" x14ac:dyDescent="0.25">
      <c r="A84" s="65" t="s">
        <v>124</v>
      </c>
      <c r="B84" s="66" t="s">
        <v>9</v>
      </c>
      <c r="C84" s="66" t="s">
        <v>67</v>
      </c>
      <c r="D84" s="67" t="s">
        <v>68</v>
      </c>
      <c r="E84" s="2" t="s">
        <v>69</v>
      </c>
      <c r="F84" s="2"/>
      <c r="G84" s="2">
        <v>18</v>
      </c>
      <c r="H84" s="2">
        <v>3</v>
      </c>
      <c r="I84" s="2">
        <v>10</v>
      </c>
      <c r="J84" s="2">
        <v>3</v>
      </c>
      <c r="K84" s="2">
        <v>3</v>
      </c>
      <c r="L84" s="2">
        <v>10</v>
      </c>
      <c r="M84" s="2">
        <v>4</v>
      </c>
      <c r="N84" s="2">
        <v>12</v>
      </c>
      <c r="O84" s="2">
        <v>10</v>
      </c>
      <c r="P84" s="2"/>
      <c r="Q84" s="2"/>
      <c r="R84" s="2"/>
    </row>
    <row r="85" spans="1:18" s="66" customFormat="1" x14ac:dyDescent="0.25">
      <c r="A85" s="65" t="s">
        <v>124</v>
      </c>
      <c r="B85" s="66" t="s">
        <v>9</v>
      </c>
      <c r="C85" s="66" t="s">
        <v>67</v>
      </c>
      <c r="D85" s="67" t="s">
        <v>70</v>
      </c>
      <c r="E85" s="2" t="s">
        <v>69</v>
      </c>
      <c r="F85" s="2"/>
      <c r="G85" s="2">
        <v>14</v>
      </c>
      <c r="H85" s="2">
        <v>4</v>
      </c>
      <c r="I85" s="2">
        <v>4</v>
      </c>
      <c r="J85" s="2">
        <v>5</v>
      </c>
      <c r="K85" s="2">
        <v>3</v>
      </c>
      <c r="L85" s="2">
        <v>6</v>
      </c>
      <c r="M85" s="2">
        <v>9</v>
      </c>
      <c r="N85" s="2">
        <v>7</v>
      </c>
      <c r="O85" s="2">
        <v>15</v>
      </c>
      <c r="P85" s="2"/>
      <c r="Q85" s="2"/>
      <c r="R85" s="2"/>
    </row>
    <row r="86" spans="1:18" s="66" customFormat="1" x14ac:dyDescent="0.25">
      <c r="A86" s="65" t="s">
        <v>124</v>
      </c>
      <c r="B86" s="66" t="s">
        <v>9</v>
      </c>
      <c r="C86" s="66" t="s">
        <v>71</v>
      </c>
      <c r="D86" s="70" t="s">
        <v>10</v>
      </c>
      <c r="E86" s="2" t="s">
        <v>11</v>
      </c>
      <c r="F86" s="2"/>
      <c r="G86" s="2"/>
      <c r="H86" s="2"/>
      <c r="I86" s="2"/>
      <c r="J86" s="2"/>
      <c r="K86" s="2"/>
      <c r="L86" s="2"/>
      <c r="M86" s="2"/>
      <c r="N86" s="2"/>
      <c r="O86" s="2"/>
      <c r="P86" s="2"/>
      <c r="Q86" s="2"/>
      <c r="R86" s="2"/>
    </row>
    <row r="87" spans="1:18" s="66" customFormat="1" x14ac:dyDescent="0.25">
      <c r="A87" s="65" t="s">
        <v>124</v>
      </c>
      <c r="B87" s="66" t="s">
        <v>9</v>
      </c>
      <c r="C87" s="66" t="s">
        <v>71</v>
      </c>
      <c r="D87" s="70" t="s">
        <v>72</v>
      </c>
      <c r="E87" s="2" t="s">
        <v>73</v>
      </c>
      <c r="F87" s="2"/>
      <c r="G87" s="2"/>
      <c r="H87" s="2"/>
      <c r="I87" s="2"/>
      <c r="J87" s="2"/>
      <c r="K87" s="2"/>
      <c r="L87" s="2"/>
      <c r="M87" s="2"/>
      <c r="N87" s="2"/>
      <c r="O87" s="2"/>
      <c r="P87" s="2"/>
      <c r="Q87" s="2"/>
      <c r="R87" s="2"/>
    </row>
    <row r="88" spans="1:18" s="66" customFormat="1" x14ac:dyDescent="0.25">
      <c r="A88" s="65" t="s">
        <v>124</v>
      </c>
      <c r="B88" s="66" t="s">
        <v>9</v>
      </c>
      <c r="C88" s="66" t="s">
        <v>71</v>
      </c>
      <c r="D88" s="70" t="s">
        <v>74</v>
      </c>
      <c r="E88" s="2" t="s">
        <v>71</v>
      </c>
      <c r="F88" s="2"/>
      <c r="G88" s="2"/>
      <c r="H88" s="2"/>
      <c r="I88" s="2"/>
      <c r="J88" s="2"/>
      <c r="K88" s="2"/>
      <c r="L88" s="2"/>
      <c r="M88" s="2"/>
      <c r="N88" s="2"/>
      <c r="O88" s="2"/>
      <c r="P88" s="2"/>
      <c r="Q88" s="2"/>
      <c r="R88" s="2"/>
    </row>
    <row r="89" spans="1:18" s="66" customFormat="1" x14ac:dyDescent="0.25">
      <c r="A89" s="65" t="s">
        <v>124</v>
      </c>
      <c r="B89" s="66" t="s">
        <v>9</v>
      </c>
      <c r="C89" s="66" t="s">
        <v>71</v>
      </c>
      <c r="D89" s="70" t="s">
        <v>75</v>
      </c>
      <c r="E89" s="2" t="s">
        <v>71</v>
      </c>
      <c r="F89" s="2"/>
      <c r="G89" s="2"/>
      <c r="H89" s="2"/>
      <c r="I89" s="2"/>
      <c r="J89" s="2"/>
      <c r="K89" s="2"/>
      <c r="L89" s="2"/>
      <c r="M89" s="2"/>
      <c r="N89" s="2"/>
      <c r="O89" s="2"/>
      <c r="P89" s="2"/>
      <c r="Q89" s="2"/>
      <c r="R89" s="2"/>
    </row>
    <row r="90" spans="1:18" s="66" customFormat="1" x14ac:dyDescent="0.25">
      <c r="A90" s="65" t="s">
        <v>124</v>
      </c>
      <c r="B90" s="66" t="s">
        <v>76</v>
      </c>
      <c r="C90" s="66" t="s">
        <v>67</v>
      </c>
      <c r="D90" s="67" t="s">
        <v>77</v>
      </c>
      <c r="E90" s="2" t="s">
        <v>78</v>
      </c>
      <c r="F90" s="2"/>
      <c r="G90" s="2">
        <v>0</v>
      </c>
      <c r="H90" s="2">
        <v>16.7</v>
      </c>
      <c r="I90" s="2">
        <v>66.7</v>
      </c>
      <c r="J90" s="2">
        <v>0</v>
      </c>
      <c r="K90" s="2">
        <v>0</v>
      </c>
      <c r="L90" s="2">
        <v>0</v>
      </c>
      <c r="M90" s="2">
        <v>0</v>
      </c>
      <c r="N90" s="2">
        <v>33</v>
      </c>
      <c r="O90" s="2">
        <v>100</v>
      </c>
      <c r="P90" s="2"/>
      <c r="Q90" s="2"/>
      <c r="R90" s="2"/>
    </row>
    <row r="91" spans="1:18" s="66" customFormat="1" x14ac:dyDescent="0.25">
      <c r="A91" s="65" t="s">
        <v>124</v>
      </c>
      <c r="B91" s="66" t="s">
        <v>76</v>
      </c>
      <c r="C91" s="66" t="s">
        <v>47</v>
      </c>
      <c r="D91" s="67" t="s">
        <v>79</v>
      </c>
      <c r="E91" s="2" t="s">
        <v>80</v>
      </c>
      <c r="F91" s="2"/>
      <c r="G91" s="2">
        <v>37</v>
      </c>
      <c r="H91" s="2">
        <v>44</v>
      </c>
      <c r="I91" s="2">
        <v>56</v>
      </c>
      <c r="J91" s="2">
        <v>86</v>
      </c>
      <c r="K91" s="2">
        <v>96</v>
      </c>
      <c r="L91" s="2">
        <v>35</v>
      </c>
      <c r="M91" s="2">
        <v>0</v>
      </c>
      <c r="N91" s="2">
        <v>2</v>
      </c>
      <c r="O91" s="2">
        <v>27</v>
      </c>
      <c r="P91" s="2"/>
      <c r="Q91" s="2"/>
      <c r="R91" s="2"/>
    </row>
    <row r="92" spans="1:18" s="66" customFormat="1" x14ac:dyDescent="0.25">
      <c r="A92" s="65" t="s">
        <v>124</v>
      </c>
      <c r="B92" s="66" t="s">
        <v>76</v>
      </c>
      <c r="C92" s="66" t="s">
        <v>47</v>
      </c>
      <c r="D92" s="67" t="s">
        <v>81</v>
      </c>
      <c r="E92" s="2" t="s">
        <v>82</v>
      </c>
      <c r="F92" s="2"/>
      <c r="G92" s="2">
        <v>7</v>
      </c>
      <c r="H92" s="2">
        <v>2</v>
      </c>
      <c r="I92" s="2">
        <v>24</v>
      </c>
      <c r="J92" s="2">
        <v>14</v>
      </c>
      <c r="K92" s="2">
        <v>0</v>
      </c>
      <c r="L92" s="2">
        <v>40</v>
      </c>
      <c r="M92" s="2">
        <v>50</v>
      </c>
      <c r="N92" s="2">
        <v>58</v>
      </c>
      <c r="O92" s="2">
        <v>32</v>
      </c>
      <c r="P92" s="2"/>
      <c r="Q92" s="2"/>
      <c r="R92" s="2"/>
    </row>
    <row r="93" spans="1:18" s="66" customFormat="1" x14ac:dyDescent="0.25">
      <c r="A93" s="65" t="s">
        <v>124</v>
      </c>
      <c r="B93" s="66" t="s">
        <v>76</v>
      </c>
      <c r="C93" s="66" t="s">
        <v>47</v>
      </c>
      <c r="D93" s="67" t="s">
        <v>83</v>
      </c>
      <c r="E93" s="2" t="s">
        <v>84</v>
      </c>
      <c r="F93" s="2"/>
      <c r="G93" s="2">
        <v>56</v>
      </c>
      <c r="H93" s="2">
        <v>48</v>
      </c>
      <c r="I93" s="2">
        <v>20</v>
      </c>
      <c r="J93" s="2">
        <v>0</v>
      </c>
      <c r="K93" s="2">
        <v>4</v>
      </c>
      <c r="L93" s="2">
        <v>25</v>
      </c>
      <c r="M93" s="2">
        <v>50</v>
      </c>
      <c r="N93" s="2">
        <v>40</v>
      </c>
      <c r="O93" s="2">
        <v>41</v>
      </c>
      <c r="P93" s="2"/>
      <c r="Q93" s="2"/>
      <c r="R93" s="2"/>
    </row>
    <row r="94" spans="1:18" s="66" customFormat="1" x14ac:dyDescent="0.25">
      <c r="A94" s="65" t="s">
        <v>124</v>
      </c>
      <c r="B94" s="66" t="s">
        <v>76</v>
      </c>
      <c r="C94" s="66" t="s">
        <v>47</v>
      </c>
      <c r="D94" s="67" t="s">
        <v>85</v>
      </c>
      <c r="E94" s="2" t="s">
        <v>66</v>
      </c>
      <c r="F94" s="2"/>
      <c r="G94" s="2">
        <v>0</v>
      </c>
      <c r="H94" s="2">
        <v>6</v>
      </c>
      <c r="I94" s="2">
        <v>0</v>
      </c>
      <c r="J94" s="2">
        <v>0</v>
      </c>
      <c r="K94" s="2">
        <v>0</v>
      </c>
      <c r="L94" s="2">
        <v>0</v>
      </c>
      <c r="M94" s="2">
        <v>0</v>
      </c>
      <c r="N94" s="2">
        <v>0</v>
      </c>
      <c r="O94" s="2">
        <v>0</v>
      </c>
      <c r="P94" s="2"/>
      <c r="Q94" s="2"/>
      <c r="R94" s="2"/>
    </row>
    <row r="95" spans="1:18" s="66" customFormat="1" x14ac:dyDescent="0.25">
      <c r="A95" s="65" t="s">
        <v>124</v>
      </c>
      <c r="B95" s="66" t="s">
        <v>76</v>
      </c>
      <c r="C95" s="66" t="s">
        <v>71</v>
      </c>
      <c r="D95" s="70" t="s">
        <v>86</v>
      </c>
      <c r="E95" s="2" t="s">
        <v>87</v>
      </c>
      <c r="F95" s="2"/>
      <c r="G95" s="2"/>
      <c r="H95" s="2"/>
      <c r="I95" s="2" t="s">
        <v>88</v>
      </c>
      <c r="J95" s="2" t="s">
        <v>88</v>
      </c>
      <c r="K95" s="2" t="s">
        <v>88</v>
      </c>
      <c r="L95" s="2" t="s">
        <v>88</v>
      </c>
      <c r="M95" s="2" t="s">
        <v>88</v>
      </c>
      <c r="N95" s="2" t="s">
        <v>88</v>
      </c>
      <c r="O95" s="2" t="s">
        <v>88</v>
      </c>
      <c r="P95" s="2"/>
      <c r="Q95" s="2"/>
      <c r="R95" s="2"/>
    </row>
    <row r="96" spans="1:18" s="66" customFormat="1" x14ac:dyDescent="0.25">
      <c r="A96" s="65" t="s">
        <v>124</v>
      </c>
      <c r="B96" s="66" t="s">
        <v>76</v>
      </c>
      <c r="C96" s="66" t="s">
        <v>71</v>
      </c>
      <c r="D96" s="70" t="s">
        <v>89</v>
      </c>
      <c r="E96" s="2" t="s">
        <v>90</v>
      </c>
      <c r="F96" s="2"/>
      <c r="G96" s="2"/>
      <c r="H96" s="2"/>
      <c r="I96" s="2"/>
      <c r="J96" s="2"/>
      <c r="K96" s="2"/>
      <c r="L96" s="2"/>
      <c r="M96" s="2"/>
      <c r="N96" s="2"/>
      <c r="O96" s="2"/>
      <c r="P96" s="2"/>
      <c r="Q96" s="2"/>
      <c r="R96" s="2"/>
    </row>
    <row r="97" spans="1:18" s="66" customFormat="1" x14ac:dyDescent="0.25">
      <c r="A97" s="65" t="s">
        <v>124</v>
      </c>
      <c r="B97" s="66" t="s">
        <v>91</v>
      </c>
      <c r="C97" s="66" t="s">
        <v>47</v>
      </c>
      <c r="D97" s="71" t="s">
        <v>92</v>
      </c>
      <c r="E97" s="2" t="s">
        <v>93</v>
      </c>
      <c r="F97" s="2"/>
      <c r="G97" s="72">
        <v>70</v>
      </c>
      <c r="H97" s="72">
        <v>70</v>
      </c>
      <c r="I97" s="72"/>
      <c r="J97" s="72"/>
      <c r="K97" s="72"/>
      <c r="L97" s="72"/>
      <c r="M97" s="2"/>
      <c r="N97" s="72"/>
      <c r="O97" s="72"/>
      <c r="P97" s="2"/>
      <c r="Q97" s="72"/>
      <c r="R97" s="72"/>
    </row>
    <row r="98" spans="1:18" s="66" customFormat="1" x14ac:dyDescent="0.25">
      <c r="A98" s="65" t="s">
        <v>124</v>
      </c>
      <c r="B98" s="66" t="s">
        <v>91</v>
      </c>
      <c r="C98" s="66" t="s">
        <v>47</v>
      </c>
      <c r="D98" s="71" t="s">
        <v>94</v>
      </c>
      <c r="E98" s="2" t="s">
        <v>71</v>
      </c>
      <c r="F98" s="2"/>
      <c r="G98" s="72" t="s">
        <v>125</v>
      </c>
      <c r="H98" s="72" t="s">
        <v>125</v>
      </c>
      <c r="I98" s="72"/>
      <c r="J98" s="72"/>
      <c r="K98" s="72"/>
      <c r="L98" s="72"/>
      <c r="M98" s="2"/>
      <c r="N98" s="72"/>
      <c r="O98" s="72"/>
      <c r="P98" s="2"/>
      <c r="Q98" s="72"/>
      <c r="R98" s="72"/>
    </row>
    <row r="99" spans="1:18" s="66" customFormat="1" x14ac:dyDescent="0.25">
      <c r="A99" s="65" t="s">
        <v>124</v>
      </c>
      <c r="B99" s="66" t="s">
        <v>91</v>
      </c>
      <c r="C99" s="66" t="s">
        <v>47</v>
      </c>
      <c r="D99" s="71" t="s">
        <v>95</v>
      </c>
      <c r="E99" s="2" t="s">
        <v>96</v>
      </c>
      <c r="F99" s="2"/>
      <c r="G99" s="72">
        <v>67</v>
      </c>
      <c r="H99" s="72">
        <v>67</v>
      </c>
      <c r="I99" s="72"/>
      <c r="J99" s="72"/>
      <c r="K99" s="72"/>
      <c r="L99" s="72"/>
      <c r="M99" s="2"/>
      <c r="N99" s="72"/>
      <c r="O99" s="72"/>
      <c r="P99" s="2"/>
      <c r="Q99" s="72"/>
      <c r="R99" s="72"/>
    </row>
    <row r="100" spans="1:18" s="66" customFormat="1" x14ac:dyDescent="0.25">
      <c r="A100" s="65" t="s">
        <v>124</v>
      </c>
      <c r="B100" s="66" t="s">
        <v>91</v>
      </c>
      <c r="C100" s="66" t="s">
        <v>47</v>
      </c>
      <c r="D100" s="71" t="s">
        <v>97</v>
      </c>
      <c r="E100" s="2" t="s">
        <v>98</v>
      </c>
      <c r="F100" s="2"/>
      <c r="G100" s="72">
        <v>69</v>
      </c>
      <c r="H100" s="72">
        <v>69</v>
      </c>
      <c r="I100" s="72"/>
      <c r="J100" s="72"/>
      <c r="K100" s="72"/>
      <c r="L100" s="72"/>
      <c r="M100" s="2"/>
      <c r="N100" s="72"/>
      <c r="O100" s="72"/>
      <c r="P100" s="2"/>
      <c r="Q100" s="72"/>
      <c r="R100" s="72"/>
    </row>
    <row r="101" spans="1:18" s="66" customFormat="1" x14ac:dyDescent="0.25">
      <c r="A101" s="65" t="s">
        <v>124</v>
      </c>
      <c r="B101" s="66" t="s">
        <v>91</v>
      </c>
      <c r="C101" s="66" t="s">
        <v>71</v>
      </c>
      <c r="D101" s="70" t="s">
        <v>99</v>
      </c>
      <c r="E101" s="2" t="s">
        <v>100</v>
      </c>
      <c r="F101" s="2"/>
      <c r="G101" s="2"/>
      <c r="H101" s="2"/>
      <c r="I101" s="2"/>
      <c r="J101" s="2"/>
      <c r="K101" s="2"/>
      <c r="L101" s="2"/>
      <c r="M101" s="2"/>
      <c r="N101" s="2"/>
      <c r="O101" s="2"/>
      <c r="P101" s="2"/>
      <c r="Q101" s="2"/>
      <c r="R101" s="2"/>
    </row>
    <row r="102" spans="1:18" s="66" customFormat="1" x14ac:dyDescent="0.25">
      <c r="A102" s="65" t="s">
        <v>124</v>
      </c>
      <c r="B102" s="66" t="s">
        <v>91</v>
      </c>
      <c r="C102" s="66" t="s">
        <v>71</v>
      </c>
      <c r="D102" s="66" t="s">
        <v>101</v>
      </c>
      <c r="E102" s="2" t="s">
        <v>71</v>
      </c>
      <c r="F102" s="2"/>
      <c r="G102" s="2">
        <v>0</v>
      </c>
      <c r="H102" s="2">
        <v>0</v>
      </c>
      <c r="I102" s="2">
        <v>0</v>
      </c>
      <c r="J102" s="2">
        <v>0</v>
      </c>
      <c r="K102" s="2">
        <v>0</v>
      </c>
      <c r="L102" s="2">
        <v>0</v>
      </c>
      <c r="M102" s="2">
        <v>0</v>
      </c>
      <c r="N102" s="2">
        <v>0</v>
      </c>
      <c r="O102" s="2">
        <v>0</v>
      </c>
      <c r="P102" s="2"/>
      <c r="Q102" s="2"/>
      <c r="R102" s="2"/>
    </row>
    <row r="103" spans="1:18" s="66" customFormat="1" x14ac:dyDescent="0.25">
      <c r="A103" s="65" t="s">
        <v>124</v>
      </c>
      <c r="B103" s="66" t="s">
        <v>102</v>
      </c>
      <c r="C103" s="66" t="s">
        <v>47</v>
      </c>
      <c r="D103" s="67" t="s">
        <v>103</v>
      </c>
      <c r="E103" s="2" t="s">
        <v>66</v>
      </c>
      <c r="F103" s="2"/>
      <c r="G103" s="2" t="s">
        <v>125</v>
      </c>
      <c r="H103" s="2">
        <v>15</v>
      </c>
      <c r="I103" s="2">
        <v>12.5</v>
      </c>
      <c r="J103" s="2">
        <v>7</v>
      </c>
      <c r="K103" s="2">
        <v>6</v>
      </c>
      <c r="L103" s="2">
        <v>11</v>
      </c>
      <c r="M103" s="2">
        <v>6</v>
      </c>
      <c r="N103" s="2">
        <v>8</v>
      </c>
      <c r="O103" s="2">
        <v>11</v>
      </c>
      <c r="P103" s="2"/>
      <c r="Q103" s="2"/>
      <c r="R103" s="2"/>
    </row>
    <row r="104" spans="1:18" s="66" customFormat="1" x14ac:dyDescent="0.25">
      <c r="A104" s="65" t="s">
        <v>124</v>
      </c>
      <c r="B104" s="66" t="s">
        <v>102</v>
      </c>
      <c r="C104" s="66" t="s">
        <v>47</v>
      </c>
      <c r="D104" s="67" t="s">
        <v>104</v>
      </c>
      <c r="E104" s="2" t="s">
        <v>66</v>
      </c>
      <c r="F104" s="2"/>
      <c r="G104" s="2" t="s">
        <v>125</v>
      </c>
      <c r="H104" s="2">
        <v>2.33</v>
      </c>
      <c r="I104" s="2">
        <v>1.98</v>
      </c>
      <c r="J104" s="2">
        <v>1.6</v>
      </c>
      <c r="K104" s="2">
        <v>1.27</v>
      </c>
      <c r="L104" s="2">
        <v>1.73</v>
      </c>
      <c r="M104" s="2">
        <v>0.98</v>
      </c>
      <c r="N104" s="2">
        <v>3.19</v>
      </c>
      <c r="O104" s="2">
        <v>4.32</v>
      </c>
      <c r="P104" s="2"/>
      <c r="Q104" s="2"/>
      <c r="R104" s="2"/>
    </row>
    <row r="105" spans="1:18" s="66" customFormat="1" x14ac:dyDescent="0.25">
      <c r="A105" s="65" t="s">
        <v>124</v>
      </c>
      <c r="B105" s="66" t="s">
        <v>102</v>
      </c>
      <c r="C105" s="66" t="s">
        <v>47</v>
      </c>
      <c r="D105" s="67" t="s">
        <v>105</v>
      </c>
      <c r="E105" s="2" t="s">
        <v>66</v>
      </c>
      <c r="F105" s="2"/>
      <c r="G105" s="2" t="s">
        <v>125</v>
      </c>
      <c r="H105" s="2">
        <v>14</v>
      </c>
      <c r="I105" s="2">
        <v>13</v>
      </c>
      <c r="J105" s="2">
        <v>6</v>
      </c>
      <c r="K105" s="2">
        <v>6</v>
      </c>
      <c r="L105" s="2">
        <v>12.5</v>
      </c>
      <c r="M105" s="2">
        <v>12</v>
      </c>
      <c r="N105" s="2">
        <v>11</v>
      </c>
      <c r="O105" s="2">
        <v>16</v>
      </c>
      <c r="P105" s="2"/>
      <c r="Q105" s="2"/>
      <c r="R105" s="2"/>
    </row>
    <row r="106" spans="1:18" s="66" customFormat="1" x14ac:dyDescent="0.25">
      <c r="A106" s="65" t="s">
        <v>124</v>
      </c>
      <c r="B106" s="66" t="s">
        <v>102</v>
      </c>
      <c r="C106" s="66" t="s">
        <v>47</v>
      </c>
      <c r="D106" s="67" t="s">
        <v>106</v>
      </c>
      <c r="E106" s="2" t="s">
        <v>66</v>
      </c>
      <c r="F106" s="2"/>
      <c r="G106" s="2" t="s">
        <v>125</v>
      </c>
      <c r="H106" s="2">
        <v>2.2400000000000002</v>
      </c>
      <c r="I106" s="2">
        <v>2</v>
      </c>
      <c r="J106" s="2">
        <v>1.49</v>
      </c>
      <c r="K106" s="2">
        <v>1.39</v>
      </c>
      <c r="L106" s="2">
        <v>2.1800000000000002</v>
      </c>
      <c r="M106" s="2">
        <v>1.1399999999999999</v>
      </c>
      <c r="N106" s="2">
        <v>3.67</v>
      </c>
      <c r="O106" s="2">
        <v>4.6399999999999997</v>
      </c>
      <c r="P106" s="2"/>
      <c r="Q106" s="2"/>
      <c r="R106" s="2"/>
    </row>
    <row r="107" spans="1:18" s="66" customFormat="1" x14ac:dyDescent="0.25">
      <c r="A107" s="65" t="s">
        <v>124</v>
      </c>
      <c r="B107" s="66" t="s">
        <v>102</v>
      </c>
      <c r="C107" s="66" t="s">
        <v>47</v>
      </c>
      <c r="D107" s="67" t="s">
        <v>107</v>
      </c>
      <c r="E107" s="2" t="s">
        <v>66</v>
      </c>
      <c r="F107" s="2"/>
      <c r="G107" s="2" t="s">
        <v>125</v>
      </c>
      <c r="H107" s="2">
        <v>14</v>
      </c>
      <c r="I107" s="2">
        <v>13</v>
      </c>
      <c r="J107" s="2">
        <v>22</v>
      </c>
      <c r="K107" s="2">
        <v>12</v>
      </c>
      <c r="L107" s="2">
        <v>8.5</v>
      </c>
      <c r="M107" s="2">
        <v>5</v>
      </c>
      <c r="N107" s="2">
        <v>5</v>
      </c>
      <c r="O107" s="2">
        <v>2</v>
      </c>
      <c r="P107" s="2"/>
      <c r="Q107" s="2"/>
      <c r="R107" s="2"/>
    </row>
    <row r="108" spans="1:18" s="66" customFormat="1" x14ac:dyDescent="0.25">
      <c r="A108" s="65" t="s">
        <v>124</v>
      </c>
      <c r="B108" s="73" t="s">
        <v>102</v>
      </c>
      <c r="C108" s="73" t="s">
        <v>47</v>
      </c>
      <c r="D108" s="74" t="s">
        <v>108</v>
      </c>
      <c r="E108" s="18" t="s">
        <v>66</v>
      </c>
      <c r="F108" s="18"/>
      <c r="G108" s="18" t="s">
        <v>125</v>
      </c>
      <c r="H108" s="18">
        <v>1.95</v>
      </c>
      <c r="I108" s="18">
        <v>2.2999999999999998</v>
      </c>
      <c r="J108" s="18">
        <v>5.48</v>
      </c>
      <c r="K108" s="18">
        <v>1.97</v>
      </c>
      <c r="L108" s="18">
        <v>1.62</v>
      </c>
      <c r="M108" s="18">
        <v>1.1200000000000001</v>
      </c>
      <c r="N108" s="18">
        <v>1.42</v>
      </c>
      <c r="O108" s="99">
        <v>1.54</v>
      </c>
      <c r="P108" s="18"/>
      <c r="Q108" s="18"/>
      <c r="R108" s="18"/>
    </row>
    <row r="109" spans="1:18" s="66" customFormat="1" x14ac:dyDescent="0.25">
      <c r="A109" s="54" t="s">
        <v>126</v>
      </c>
      <c r="B109" s="66" t="s">
        <v>46</v>
      </c>
      <c r="C109" s="66" t="s">
        <v>47</v>
      </c>
      <c r="D109" s="67" t="s">
        <v>48</v>
      </c>
      <c r="E109" s="2" t="s">
        <v>49</v>
      </c>
      <c r="F109" s="2"/>
      <c r="G109" s="2" t="s">
        <v>66</v>
      </c>
      <c r="H109" s="2">
        <v>93.2</v>
      </c>
      <c r="I109" s="2">
        <v>48.5</v>
      </c>
      <c r="J109" s="2">
        <v>53</v>
      </c>
      <c r="K109" s="2">
        <v>80</v>
      </c>
      <c r="L109" s="2">
        <v>70.599999999999994</v>
      </c>
      <c r="M109" s="2">
        <v>86</v>
      </c>
      <c r="N109" s="2">
        <v>83.8</v>
      </c>
      <c r="O109" s="2">
        <v>95.7</v>
      </c>
      <c r="P109" s="2"/>
      <c r="Q109" s="2"/>
      <c r="R109" s="2"/>
    </row>
    <row r="110" spans="1:18" s="66" customFormat="1" x14ac:dyDescent="0.25">
      <c r="A110" s="54" t="s">
        <v>126</v>
      </c>
      <c r="B110" s="66" t="s">
        <v>46</v>
      </c>
      <c r="C110" s="66" t="s">
        <v>47</v>
      </c>
      <c r="D110" s="67" t="s">
        <v>50</v>
      </c>
      <c r="E110" s="2" t="s">
        <v>51</v>
      </c>
      <c r="F110" s="2"/>
      <c r="G110" s="2">
        <v>0.04</v>
      </c>
      <c r="H110" s="2">
        <v>10.98</v>
      </c>
      <c r="I110" s="2">
        <v>6.99</v>
      </c>
      <c r="J110" s="2">
        <v>3.91</v>
      </c>
      <c r="K110" s="2">
        <v>4.03</v>
      </c>
      <c r="L110" s="2">
        <v>6.72</v>
      </c>
      <c r="M110" s="2">
        <v>4.29</v>
      </c>
      <c r="N110" s="2">
        <v>3.95</v>
      </c>
      <c r="O110" s="2">
        <v>2.08</v>
      </c>
      <c r="P110" s="2"/>
      <c r="Q110" s="2"/>
      <c r="R110" s="2"/>
    </row>
    <row r="111" spans="1:18" s="66" customFormat="1" x14ac:dyDescent="0.25">
      <c r="A111" s="54" t="s">
        <v>126</v>
      </c>
      <c r="B111" s="66" t="s">
        <v>46</v>
      </c>
      <c r="C111" s="66" t="s">
        <v>47</v>
      </c>
      <c r="D111" s="67" t="s">
        <v>52</v>
      </c>
      <c r="E111" s="2" t="s">
        <v>53</v>
      </c>
      <c r="F111" s="2"/>
      <c r="G111" s="2">
        <v>69</v>
      </c>
      <c r="H111" s="2">
        <v>60</v>
      </c>
      <c r="I111" s="2">
        <v>57</v>
      </c>
      <c r="J111" s="2">
        <v>23</v>
      </c>
      <c r="K111" s="2">
        <v>46</v>
      </c>
      <c r="L111" s="2">
        <v>4</v>
      </c>
      <c r="M111" s="2">
        <v>1</v>
      </c>
      <c r="N111" s="2">
        <v>0.8</v>
      </c>
      <c r="O111" s="2">
        <v>2</v>
      </c>
      <c r="P111" s="2"/>
      <c r="Q111" s="2"/>
      <c r="R111" s="2"/>
    </row>
    <row r="112" spans="1:18" s="66" customFormat="1" x14ac:dyDescent="0.25">
      <c r="A112" s="54" t="s">
        <v>126</v>
      </c>
      <c r="B112" s="66" t="s">
        <v>46</v>
      </c>
      <c r="C112" s="66" t="s">
        <v>47</v>
      </c>
      <c r="D112" s="67" t="s">
        <v>54</v>
      </c>
      <c r="E112" s="2" t="s">
        <v>55</v>
      </c>
      <c r="F112" s="2"/>
      <c r="G112" s="2">
        <v>0</v>
      </c>
      <c r="H112" s="2">
        <v>0</v>
      </c>
      <c r="I112" s="2">
        <v>0</v>
      </c>
      <c r="J112" s="2">
        <v>0</v>
      </c>
      <c r="K112" s="2">
        <v>0</v>
      </c>
      <c r="L112" s="2">
        <v>0</v>
      </c>
      <c r="M112" s="2">
        <v>0</v>
      </c>
      <c r="N112" s="2">
        <v>0</v>
      </c>
      <c r="O112" s="2">
        <v>0</v>
      </c>
      <c r="P112" s="2"/>
      <c r="Q112" s="2"/>
      <c r="R112" s="2"/>
    </row>
    <row r="113" spans="1:18" s="66" customFormat="1" x14ac:dyDescent="0.25">
      <c r="A113" s="54" t="s">
        <v>126</v>
      </c>
      <c r="B113" s="66" t="s">
        <v>56</v>
      </c>
      <c r="C113" s="66" t="s">
        <v>57</v>
      </c>
      <c r="D113" s="67" t="s">
        <v>58</v>
      </c>
      <c r="E113" s="13" t="s">
        <v>59</v>
      </c>
      <c r="F113" s="13"/>
      <c r="G113" s="2">
        <v>0</v>
      </c>
      <c r="H113" s="2">
        <v>0</v>
      </c>
      <c r="I113" s="2">
        <v>0</v>
      </c>
      <c r="J113" s="2">
        <v>0</v>
      </c>
      <c r="K113" s="2">
        <v>0</v>
      </c>
      <c r="L113" s="2">
        <v>0</v>
      </c>
      <c r="M113" s="2">
        <v>0</v>
      </c>
      <c r="N113" s="2">
        <v>0</v>
      </c>
      <c r="O113" s="2">
        <v>0</v>
      </c>
      <c r="P113" s="2"/>
      <c r="Q113" s="2"/>
      <c r="R113" s="2"/>
    </row>
    <row r="114" spans="1:18" s="66" customFormat="1" x14ac:dyDescent="0.25">
      <c r="A114" s="54" t="s">
        <v>126</v>
      </c>
      <c r="B114" s="66" t="s">
        <v>56</v>
      </c>
      <c r="C114" s="66" t="s">
        <v>57</v>
      </c>
      <c r="D114" s="68" t="s">
        <v>60</v>
      </c>
      <c r="E114" s="13" t="s">
        <v>61</v>
      </c>
      <c r="F114" s="13"/>
      <c r="G114" s="2">
        <v>0</v>
      </c>
      <c r="H114" s="2">
        <v>0</v>
      </c>
      <c r="I114" s="2">
        <v>0</v>
      </c>
      <c r="J114" s="2">
        <v>0</v>
      </c>
      <c r="K114" s="2">
        <v>0</v>
      </c>
      <c r="L114" s="2">
        <v>0</v>
      </c>
      <c r="M114" s="2">
        <v>0</v>
      </c>
      <c r="N114" s="2">
        <v>0</v>
      </c>
      <c r="O114" s="2">
        <v>0</v>
      </c>
      <c r="P114" s="2"/>
      <c r="Q114" s="2"/>
      <c r="R114" s="2"/>
    </row>
    <row r="115" spans="1:18" s="66" customFormat="1" x14ac:dyDescent="0.25">
      <c r="A115" s="54" t="s">
        <v>126</v>
      </c>
      <c r="B115" s="66" t="s">
        <v>56</v>
      </c>
      <c r="C115" s="66" t="s">
        <v>57</v>
      </c>
      <c r="D115" s="68" t="s">
        <v>62</v>
      </c>
      <c r="E115" s="13" t="s">
        <v>63</v>
      </c>
      <c r="F115" s="13"/>
      <c r="G115" s="2">
        <v>0</v>
      </c>
      <c r="H115" s="2">
        <v>1</v>
      </c>
      <c r="I115" s="2">
        <v>0</v>
      </c>
      <c r="J115" s="2">
        <v>0</v>
      </c>
      <c r="K115" s="2">
        <v>0</v>
      </c>
      <c r="L115" s="2">
        <v>0</v>
      </c>
      <c r="M115" s="2">
        <v>0</v>
      </c>
      <c r="N115" s="2">
        <v>1</v>
      </c>
      <c r="O115" s="2">
        <v>2</v>
      </c>
      <c r="P115" s="2"/>
      <c r="Q115" s="2"/>
      <c r="R115" s="2"/>
    </row>
    <row r="116" spans="1:18" s="66" customFormat="1" ht="16.5" customHeight="1" x14ac:dyDescent="0.25">
      <c r="A116" s="54" t="s">
        <v>126</v>
      </c>
      <c r="B116" s="66" t="s">
        <v>56</v>
      </c>
      <c r="C116" s="66" t="s">
        <v>57</v>
      </c>
      <c r="D116" s="67" t="s">
        <v>64</v>
      </c>
      <c r="E116" s="2" t="s">
        <v>65</v>
      </c>
      <c r="F116" s="2"/>
      <c r="G116" s="2" t="s">
        <v>110</v>
      </c>
      <c r="H116" s="2" t="s">
        <v>110</v>
      </c>
      <c r="I116" s="2" t="s">
        <v>110</v>
      </c>
      <c r="J116" s="2" t="s">
        <v>110</v>
      </c>
      <c r="K116" s="2" t="s">
        <v>110</v>
      </c>
      <c r="L116" s="2" t="s">
        <v>110</v>
      </c>
      <c r="M116" s="2">
        <v>0</v>
      </c>
      <c r="N116" s="2" t="s">
        <v>66</v>
      </c>
      <c r="O116" s="2" t="s">
        <v>66</v>
      </c>
      <c r="P116" s="2"/>
      <c r="Q116" s="2"/>
      <c r="R116" s="69"/>
    </row>
    <row r="117" spans="1:18" s="66" customFormat="1" x14ac:dyDescent="0.25">
      <c r="A117" s="54" t="s">
        <v>126</v>
      </c>
      <c r="B117" s="66" t="s">
        <v>9</v>
      </c>
      <c r="C117" s="66" t="s">
        <v>67</v>
      </c>
      <c r="D117" s="67" t="s">
        <v>68</v>
      </c>
      <c r="E117" s="2" t="s">
        <v>69</v>
      </c>
      <c r="F117" s="2"/>
      <c r="G117" s="2">
        <v>18</v>
      </c>
      <c r="H117" s="2">
        <v>3</v>
      </c>
      <c r="I117" s="2">
        <v>10</v>
      </c>
      <c r="J117" s="2">
        <v>2</v>
      </c>
      <c r="K117" s="2">
        <v>2</v>
      </c>
      <c r="L117" s="2">
        <v>0</v>
      </c>
      <c r="M117" s="2">
        <v>0</v>
      </c>
      <c r="N117" s="2">
        <v>0</v>
      </c>
      <c r="O117" s="2">
        <v>0</v>
      </c>
      <c r="P117" s="2"/>
      <c r="Q117" s="2"/>
      <c r="R117" s="2"/>
    </row>
    <row r="118" spans="1:18" s="66" customFormat="1" x14ac:dyDescent="0.25">
      <c r="A118" s="54" t="s">
        <v>126</v>
      </c>
      <c r="B118" s="66" t="s">
        <v>9</v>
      </c>
      <c r="C118" s="66" t="s">
        <v>67</v>
      </c>
      <c r="D118" s="67" t="s">
        <v>70</v>
      </c>
      <c r="E118" s="2" t="s">
        <v>69</v>
      </c>
      <c r="F118" s="2"/>
      <c r="G118" s="2">
        <v>14</v>
      </c>
      <c r="H118" s="2">
        <v>4</v>
      </c>
      <c r="I118" s="2">
        <v>4</v>
      </c>
      <c r="J118" s="2">
        <v>4</v>
      </c>
      <c r="K118" s="2">
        <v>2</v>
      </c>
      <c r="L118" s="2">
        <v>0</v>
      </c>
      <c r="M118" s="2">
        <v>0</v>
      </c>
      <c r="N118" s="2">
        <v>0</v>
      </c>
      <c r="O118" s="2">
        <v>0</v>
      </c>
      <c r="P118" s="2"/>
      <c r="Q118" s="2"/>
      <c r="R118" s="2"/>
    </row>
    <row r="119" spans="1:18" s="66" customFormat="1" x14ac:dyDescent="0.25">
      <c r="A119" s="54" t="s">
        <v>126</v>
      </c>
      <c r="B119" s="66" t="s">
        <v>9</v>
      </c>
      <c r="C119" s="66" t="s">
        <v>71</v>
      </c>
      <c r="D119" s="70" t="s">
        <v>10</v>
      </c>
      <c r="E119" s="2" t="s">
        <v>11</v>
      </c>
      <c r="F119" s="2"/>
      <c r="G119" s="2"/>
      <c r="H119" s="2"/>
      <c r="I119" s="2"/>
      <c r="J119" s="2"/>
      <c r="K119" s="2"/>
      <c r="L119" s="2"/>
      <c r="M119" s="2"/>
      <c r="N119" s="2"/>
      <c r="O119" s="2"/>
      <c r="P119" s="2"/>
      <c r="Q119" s="2"/>
      <c r="R119" s="2"/>
    </row>
    <row r="120" spans="1:18" s="66" customFormat="1" x14ac:dyDescent="0.25">
      <c r="A120" s="54" t="s">
        <v>126</v>
      </c>
      <c r="B120" s="66" t="s">
        <v>9</v>
      </c>
      <c r="C120" s="66" t="s">
        <v>71</v>
      </c>
      <c r="D120" s="70" t="s">
        <v>72</v>
      </c>
      <c r="E120" s="2" t="s">
        <v>73</v>
      </c>
      <c r="F120" s="2"/>
      <c r="G120" s="2"/>
      <c r="H120" s="2"/>
      <c r="I120" s="2"/>
      <c r="J120" s="2"/>
      <c r="K120" s="2"/>
      <c r="L120" s="2"/>
      <c r="M120" s="2"/>
      <c r="N120" s="2"/>
      <c r="O120" s="2"/>
      <c r="P120" s="2"/>
      <c r="Q120" s="2"/>
      <c r="R120" s="2"/>
    </row>
    <row r="121" spans="1:18" s="66" customFormat="1" x14ac:dyDescent="0.25">
      <c r="A121" s="54" t="s">
        <v>126</v>
      </c>
      <c r="B121" s="66" t="s">
        <v>9</v>
      </c>
      <c r="C121" s="66" t="s">
        <v>71</v>
      </c>
      <c r="D121" s="70" t="s">
        <v>74</v>
      </c>
      <c r="E121" s="2" t="s">
        <v>71</v>
      </c>
      <c r="F121" s="2"/>
      <c r="G121" s="2"/>
      <c r="H121" s="2"/>
      <c r="I121" s="2"/>
      <c r="J121" s="2"/>
      <c r="K121" s="2"/>
      <c r="L121" s="2"/>
      <c r="M121" s="2"/>
      <c r="N121" s="2"/>
      <c r="O121" s="2"/>
      <c r="P121" s="2"/>
      <c r="Q121" s="2"/>
      <c r="R121" s="2"/>
    </row>
    <row r="122" spans="1:18" s="66" customFormat="1" x14ac:dyDescent="0.25">
      <c r="A122" s="54" t="s">
        <v>126</v>
      </c>
      <c r="B122" s="66" t="s">
        <v>9</v>
      </c>
      <c r="C122" s="66" t="s">
        <v>71</v>
      </c>
      <c r="D122" s="70" t="s">
        <v>75</v>
      </c>
      <c r="E122" s="2" t="s">
        <v>71</v>
      </c>
      <c r="F122" s="2"/>
      <c r="G122" s="2"/>
      <c r="H122" s="2"/>
      <c r="I122" s="2"/>
      <c r="J122" s="2"/>
      <c r="K122" s="2"/>
      <c r="L122" s="2"/>
      <c r="M122" s="2"/>
      <c r="N122" s="2"/>
      <c r="O122" s="2"/>
      <c r="P122" s="2"/>
      <c r="Q122" s="2"/>
      <c r="R122" s="2"/>
    </row>
    <row r="123" spans="1:18" s="66" customFormat="1" x14ac:dyDescent="0.25">
      <c r="A123" s="54" t="s">
        <v>126</v>
      </c>
      <c r="B123" s="66" t="s">
        <v>76</v>
      </c>
      <c r="C123" s="66" t="s">
        <v>67</v>
      </c>
      <c r="D123" s="67" t="s">
        <v>77</v>
      </c>
      <c r="E123" s="2" t="s">
        <v>78</v>
      </c>
      <c r="F123" s="2"/>
      <c r="G123" s="2">
        <v>0</v>
      </c>
      <c r="H123" s="2">
        <v>16.7</v>
      </c>
      <c r="I123" s="2">
        <v>66.7</v>
      </c>
      <c r="J123" s="2">
        <v>0</v>
      </c>
      <c r="K123" s="2">
        <v>66.7</v>
      </c>
      <c r="L123" s="2">
        <v>80</v>
      </c>
      <c r="M123" s="2">
        <v>0</v>
      </c>
      <c r="N123" s="2">
        <v>33</v>
      </c>
      <c r="O123" s="2">
        <v>100</v>
      </c>
      <c r="P123" s="2"/>
      <c r="Q123" s="2"/>
      <c r="R123" s="2"/>
    </row>
    <row r="124" spans="1:18" s="66" customFormat="1" x14ac:dyDescent="0.25">
      <c r="A124" s="54" t="s">
        <v>126</v>
      </c>
      <c r="B124" s="66" t="s">
        <v>76</v>
      </c>
      <c r="C124" s="66" t="s">
        <v>47</v>
      </c>
      <c r="D124" s="67" t="s">
        <v>79</v>
      </c>
      <c r="E124" s="2" t="s">
        <v>80</v>
      </c>
      <c r="F124" s="2"/>
      <c r="G124" s="2">
        <v>49</v>
      </c>
      <c r="H124" s="2">
        <v>56</v>
      </c>
      <c r="I124" s="2">
        <v>40</v>
      </c>
      <c r="J124" s="2">
        <v>75</v>
      </c>
      <c r="K124" s="2">
        <v>63</v>
      </c>
      <c r="L124" s="2">
        <v>90</v>
      </c>
      <c r="M124" s="2">
        <v>100</v>
      </c>
      <c r="N124" s="2">
        <v>95</v>
      </c>
      <c r="O124" s="2">
        <v>94</v>
      </c>
      <c r="P124" s="2"/>
      <c r="Q124" s="2"/>
      <c r="R124" s="2"/>
    </row>
    <row r="125" spans="1:18" s="66" customFormat="1" x14ac:dyDescent="0.25">
      <c r="A125" s="54" t="s">
        <v>126</v>
      </c>
      <c r="B125" s="66" t="s">
        <v>76</v>
      </c>
      <c r="C125" s="66" t="s">
        <v>47</v>
      </c>
      <c r="D125" s="67" t="s">
        <v>81</v>
      </c>
      <c r="E125" s="2" t="s">
        <v>82</v>
      </c>
      <c r="F125" s="2"/>
      <c r="G125" s="2">
        <v>0</v>
      </c>
      <c r="H125" s="2">
        <v>2</v>
      </c>
      <c r="I125" s="2">
        <v>6</v>
      </c>
      <c r="J125" s="2">
        <v>6</v>
      </c>
      <c r="K125" s="2">
        <v>5</v>
      </c>
      <c r="L125" s="2">
        <v>4</v>
      </c>
      <c r="M125" s="2">
        <v>0</v>
      </c>
      <c r="N125" s="2">
        <v>0</v>
      </c>
      <c r="O125" s="2">
        <v>2</v>
      </c>
      <c r="P125" s="2"/>
      <c r="Q125" s="2"/>
      <c r="R125" s="2"/>
    </row>
    <row r="126" spans="1:18" s="66" customFormat="1" x14ac:dyDescent="0.25">
      <c r="A126" s="54" t="s">
        <v>126</v>
      </c>
      <c r="B126" s="66" t="s">
        <v>76</v>
      </c>
      <c r="C126" s="66" t="s">
        <v>47</v>
      </c>
      <c r="D126" s="67" t="s">
        <v>83</v>
      </c>
      <c r="E126" s="2" t="s">
        <v>84</v>
      </c>
      <c r="F126" s="2"/>
      <c r="G126" s="2">
        <v>51</v>
      </c>
      <c r="H126" s="2">
        <v>42</v>
      </c>
      <c r="I126" s="2">
        <v>53</v>
      </c>
      <c r="J126" s="2">
        <v>19</v>
      </c>
      <c r="K126" s="2">
        <v>32</v>
      </c>
      <c r="L126" s="2">
        <v>6</v>
      </c>
      <c r="M126" s="2">
        <v>0</v>
      </c>
      <c r="N126" s="2">
        <v>5</v>
      </c>
      <c r="O126" s="2">
        <v>4</v>
      </c>
      <c r="P126" s="2"/>
      <c r="Q126" s="2"/>
      <c r="R126" s="2"/>
    </row>
    <row r="127" spans="1:18" s="66" customFormat="1" x14ac:dyDescent="0.25">
      <c r="A127" s="54" t="s">
        <v>126</v>
      </c>
      <c r="B127" s="66" t="s">
        <v>76</v>
      </c>
      <c r="C127" s="66" t="s">
        <v>47</v>
      </c>
      <c r="D127" s="67" t="s">
        <v>85</v>
      </c>
      <c r="E127" s="2" t="s">
        <v>66</v>
      </c>
      <c r="F127" s="2"/>
      <c r="G127" s="2">
        <v>0</v>
      </c>
      <c r="H127" s="2">
        <v>0</v>
      </c>
      <c r="I127" s="2">
        <v>1</v>
      </c>
      <c r="J127" s="2">
        <v>0</v>
      </c>
      <c r="K127" s="2">
        <v>0</v>
      </c>
      <c r="L127" s="2">
        <v>0</v>
      </c>
      <c r="M127" s="2">
        <v>0</v>
      </c>
      <c r="N127" s="2">
        <v>0</v>
      </c>
      <c r="O127" s="2">
        <v>0</v>
      </c>
      <c r="P127" s="2"/>
      <c r="Q127" s="2"/>
      <c r="R127" s="2"/>
    </row>
    <row r="128" spans="1:18" s="66" customFormat="1" x14ac:dyDescent="0.25">
      <c r="A128" s="54" t="s">
        <v>126</v>
      </c>
      <c r="B128" s="66" t="s">
        <v>76</v>
      </c>
      <c r="C128" s="66" t="s">
        <v>71</v>
      </c>
      <c r="D128" s="70" t="s">
        <v>86</v>
      </c>
      <c r="E128" s="2" t="s">
        <v>87</v>
      </c>
      <c r="F128" s="2"/>
      <c r="G128" s="2"/>
      <c r="H128" s="2"/>
      <c r="I128" s="2" t="s">
        <v>88</v>
      </c>
      <c r="J128" s="2" t="s">
        <v>88</v>
      </c>
      <c r="K128" s="2" t="s">
        <v>88</v>
      </c>
      <c r="L128" s="2" t="s">
        <v>88</v>
      </c>
      <c r="M128" s="2" t="s">
        <v>88</v>
      </c>
      <c r="N128" s="2" t="s">
        <v>88</v>
      </c>
      <c r="O128" s="2" t="s">
        <v>88</v>
      </c>
      <c r="P128" s="2"/>
      <c r="Q128" s="2"/>
      <c r="R128" s="2"/>
    </row>
    <row r="129" spans="1:18" s="66" customFormat="1" x14ac:dyDescent="0.25">
      <c r="A129" s="54" t="s">
        <v>126</v>
      </c>
      <c r="B129" s="66" t="s">
        <v>76</v>
      </c>
      <c r="C129" s="66" t="s">
        <v>71</v>
      </c>
      <c r="D129" s="70" t="s">
        <v>89</v>
      </c>
      <c r="E129" s="2" t="s">
        <v>90</v>
      </c>
      <c r="F129" s="2"/>
      <c r="G129" s="2"/>
      <c r="H129" s="2"/>
      <c r="I129" s="2"/>
      <c r="J129" s="2"/>
      <c r="K129" s="2"/>
      <c r="L129" s="2"/>
      <c r="M129" s="2"/>
      <c r="N129" s="2"/>
      <c r="O129" s="2"/>
      <c r="P129" s="2"/>
      <c r="Q129" s="2"/>
      <c r="R129" s="2"/>
    </row>
    <row r="130" spans="1:18" s="66" customFormat="1" x14ac:dyDescent="0.25">
      <c r="A130" s="54" t="s">
        <v>126</v>
      </c>
      <c r="B130" s="66" t="s">
        <v>91</v>
      </c>
      <c r="C130" s="66" t="s">
        <v>47</v>
      </c>
      <c r="D130" s="71" t="s">
        <v>92</v>
      </c>
      <c r="E130" s="2" t="s">
        <v>93</v>
      </c>
      <c r="F130" s="2"/>
      <c r="G130" s="72">
        <v>61</v>
      </c>
      <c r="H130" s="72">
        <v>61</v>
      </c>
      <c r="I130" s="72"/>
      <c r="J130" s="72"/>
      <c r="K130" s="72"/>
      <c r="L130" s="72"/>
      <c r="M130" s="2"/>
      <c r="N130" s="72"/>
      <c r="O130" s="2"/>
      <c r="P130" s="2"/>
      <c r="Q130" s="72"/>
      <c r="R130" s="72"/>
    </row>
    <row r="131" spans="1:18" s="66" customFormat="1" x14ac:dyDescent="0.25">
      <c r="A131" s="54" t="s">
        <v>126</v>
      </c>
      <c r="B131" s="66" t="s">
        <v>91</v>
      </c>
      <c r="C131" s="66" t="s">
        <v>47</v>
      </c>
      <c r="D131" s="71" t="s">
        <v>94</v>
      </c>
      <c r="E131" s="2" t="s">
        <v>71</v>
      </c>
      <c r="F131" s="2"/>
      <c r="G131" s="72" t="s">
        <v>125</v>
      </c>
      <c r="H131" s="72" t="s">
        <v>125</v>
      </c>
      <c r="I131" s="72"/>
      <c r="J131" s="72"/>
      <c r="K131" s="72"/>
      <c r="L131" s="72"/>
      <c r="M131" s="2"/>
      <c r="N131" s="72"/>
      <c r="O131" s="2"/>
      <c r="P131" s="2"/>
      <c r="Q131" s="72"/>
      <c r="R131" s="72"/>
    </row>
    <row r="132" spans="1:18" s="66" customFormat="1" x14ac:dyDescent="0.25">
      <c r="A132" s="54" t="s">
        <v>126</v>
      </c>
      <c r="B132" s="66" t="s">
        <v>91</v>
      </c>
      <c r="C132" s="66" t="s">
        <v>47</v>
      </c>
      <c r="D132" s="71" t="s">
        <v>95</v>
      </c>
      <c r="E132" s="2" t="s">
        <v>96</v>
      </c>
      <c r="F132" s="2"/>
      <c r="G132" s="72">
        <v>67</v>
      </c>
      <c r="H132" s="72">
        <v>67</v>
      </c>
      <c r="I132" s="72"/>
      <c r="J132" s="72"/>
      <c r="K132" s="72"/>
      <c r="L132" s="72"/>
      <c r="M132" s="2"/>
      <c r="N132" s="72"/>
      <c r="O132" s="2"/>
      <c r="P132" s="2"/>
      <c r="Q132" s="72"/>
      <c r="R132" s="72"/>
    </row>
    <row r="133" spans="1:18" s="66" customFormat="1" x14ac:dyDescent="0.25">
      <c r="A133" s="54" t="s">
        <v>126</v>
      </c>
      <c r="B133" s="66" t="s">
        <v>91</v>
      </c>
      <c r="C133" s="66" t="s">
        <v>47</v>
      </c>
      <c r="D133" s="71" t="s">
        <v>97</v>
      </c>
      <c r="E133" s="2" t="s">
        <v>98</v>
      </c>
      <c r="F133" s="2"/>
      <c r="G133" s="72">
        <v>69</v>
      </c>
      <c r="H133" s="72">
        <v>69</v>
      </c>
      <c r="I133" s="72"/>
      <c r="J133" s="72"/>
      <c r="K133" s="72"/>
      <c r="L133" s="72"/>
      <c r="M133" s="2"/>
      <c r="N133" s="72"/>
      <c r="O133" s="2"/>
      <c r="P133" s="2"/>
      <c r="Q133" s="72"/>
      <c r="R133" s="72"/>
    </row>
    <row r="134" spans="1:18" s="66" customFormat="1" x14ac:dyDescent="0.25">
      <c r="A134" s="54" t="s">
        <v>126</v>
      </c>
      <c r="B134" s="66" t="s">
        <v>91</v>
      </c>
      <c r="C134" s="66" t="s">
        <v>71</v>
      </c>
      <c r="D134" s="70" t="s">
        <v>99</v>
      </c>
      <c r="E134" s="2" t="s">
        <v>100</v>
      </c>
      <c r="F134" s="2"/>
      <c r="G134" s="2"/>
      <c r="H134" s="2"/>
      <c r="I134" s="2"/>
      <c r="J134" s="2"/>
      <c r="K134" s="2"/>
      <c r="L134" s="2"/>
      <c r="M134" s="2"/>
      <c r="N134" s="2"/>
      <c r="O134" s="2"/>
      <c r="P134" s="2"/>
      <c r="Q134" s="2"/>
      <c r="R134" s="2"/>
    </row>
    <row r="135" spans="1:18" s="66" customFormat="1" x14ac:dyDescent="0.25">
      <c r="A135" s="54" t="s">
        <v>126</v>
      </c>
      <c r="B135" s="66" t="s">
        <v>91</v>
      </c>
      <c r="C135" s="66" t="s">
        <v>71</v>
      </c>
      <c r="D135" s="66" t="s">
        <v>101</v>
      </c>
      <c r="E135" s="2" t="s">
        <v>71</v>
      </c>
      <c r="F135" s="2"/>
      <c r="G135" s="2">
        <v>0</v>
      </c>
      <c r="H135" s="2">
        <v>0</v>
      </c>
      <c r="I135" s="2">
        <v>0</v>
      </c>
      <c r="J135" s="2">
        <v>0</v>
      </c>
      <c r="K135" s="2">
        <v>0</v>
      </c>
      <c r="L135" s="2">
        <v>0</v>
      </c>
      <c r="M135" s="2">
        <v>0</v>
      </c>
      <c r="N135" s="2">
        <v>0</v>
      </c>
      <c r="O135" s="2">
        <v>0</v>
      </c>
      <c r="P135" s="2"/>
      <c r="Q135" s="2"/>
      <c r="R135" s="2"/>
    </row>
    <row r="136" spans="1:18" s="66" customFormat="1" x14ac:dyDescent="0.25">
      <c r="A136" s="54" t="s">
        <v>126</v>
      </c>
      <c r="B136" s="66" t="s">
        <v>102</v>
      </c>
      <c r="C136" s="66" t="s">
        <v>47</v>
      </c>
      <c r="D136" s="67" t="s">
        <v>103</v>
      </c>
      <c r="E136" s="2" t="s">
        <v>66</v>
      </c>
      <c r="F136" s="2"/>
      <c r="G136" s="2">
        <v>0</v>
      </c>
      <c r="H136" s="2">
        <v>4</v>
      </c>
      <c r="I136" s="2">
        <v>7.5</v>
      </c>
      <c r="J136" s="2">
        <v>14</v>
      </c>
      <c r="K136" s="2">
        <v>6</v>
      </c>
      <c r="L136" s="2">
        <v>9.5</v>
      </c>
      <c r="M136" s="2">
        <v>20</v>
      </c>
      <c r="N136" s="2">
        <v>24</v>
      </c>
      <c r="O136" s="2">
        <v>26</v>
      </c>
      <c r="P136" s="2"/>
      <c r="Q136" s="2"/>
      <c r="R136" s="2"/>
    </row>
    <row r="137" spans="1:18" s="66" customFormat="1" x14ac:dyDescent="0.25">
      <c r="A137" s="54" t="s">
        <v>126</v>
      </c>
      <c r="B137" s="66" t="s">
        <v>102</v>
      </c>
      <c r="C137" s="66" t="s">
        <v>47</v>
      </c>
      <c r="D137" s="67" t="s">
        <v>104</v>
      </c>
      <c r="E137" s="2" t="s">
        <v>66</v>
      </c>
      <c r="F137" s="2"/>
      <c r="G137" s="2">
        <v>0</v>
      </c>
      <c r="H137" s="2">
        <v>0.85</v>
      </c>
      <c r="I137" s="2">
        <v>1.0900000000000001</v>
      </c>
      <c r="J137" s="2">
        <v>2.59</v>
      </c>
      <c r="K137" s="2">
        <v>0.85</v>
      </c>
      <c r="L137" s="2">
        <v>1.78</v>
      </c>
      <c r="M137" s="2">
        <v>3.19</v>
      </c>
      <c r="N137" s="2">
        <v>4.7699999999999996</v>
      </c>
      <c r="O137" s="2">
        <v>4.04</v>
      </c>
      <c r="P137" s="2"/>
      <c r="Q137" s="2"/>
      <c r="R137" s="2"/>
    </row>
    <row r="138" spans="1:18" s="66" customFormat="1" x14ac:dyDescent="0.25">
      <c r="A138" s="54" t="s">
        <v>126</v>
      </c>
      <c r="B138" s="66" t="s">
        <v>102</v>
      </c>
      <c r="C138" s="66" t="s">
        <v>47</v>
      </c>
      <c r="D138" s="67" t="s">
        <v>105</v>
      </c>
      <c r="E138" s="2" t="s">
        <v>66</v>
      </c>
      <c r="F138" s="2"/>
      <c r="G138" s="2">
        <v>1</v>
      </c>
      <c r="H138" s="2">
        <v>7</v>
      </c>
      <c r="I138" s="2">
        <v>10</v>
      </c>
      <c r="J138" s="2">
        <v>19</v>
      </c>
      <c r="K138" s="2">
        <v>12</v>
      </c>
      <c r="L138" s="2">
        <v>9.5</v>
      </c>
      <c r="M138" s="2">
        <v>19</v>
      </c>
      <c r="N138" s="2">
        <v>23</v>
      </c>
      <c r="O138" s="2">
        <v>28</v>
      </c>
      <c r="P138" s="2"/>
      <c r="Q138" s="2"/>
      <c r="R138" s="2"/>
    </row>
    <row r="139" spans="1:18" s="66" customFormat="1" x14ac:dyDescent="0.25">
      <c r="A139" s="54" t="s">
        <v>126</v>
      </c>
      <c r="B139" s="66" t="s">
        <v>102</v>
      </c>
      <c r="C139" s="66" t="s">
        <v>47</v>
      </c>
      <c r="D139" s="67" t="s">
        <v>106</v>
      </c>
      <c r="E139" s="2" t="s">
        <v>66</v>
      </c>
      <c r="F139" s="2"/>
      <c r="G139" s="2">
        <v>0.3</v>
      </c>
      <c r="H139" s="2">
        <v>1.89</v>
      </c>
      <c r="I139" s="2">
        <v>1.58</v>
      </c>
      <c r="J139" s="2">
        <v>3.63</v>
      </c>
      <c r="K139" s="2">
        <v>1.2</v>
      </c>
      <c r="L139" s="2">
        <v>1.8</v>
      </c>
      <c r="M139" s="2">
        <v>3.34</v>
      </c>
      <c r="N139" s="2">
        <v>4.6399999999999997</v>
      </c>
      <c r="O139" s="2">
        <v>3.63</v>
      </c>
      <c r="P139" s="2"/>
      <c r="Q139" s="2"/>
      <c r="R139" s="2"/>
    </row>
    <row r="140" spans="1:18" s="66" customFormat="1" x14ac:dyDescent="0.25">
      <c r="A140" s="54" t="s">
        <v>126</v>
      </c>
      <c r="B140" s="66" t="s">
        <v>102</v>
      </c>
      <c r="C140" s="66" t="s">
        <v>47</v>
      </c>
      <c r="D140" s="67" t="s">
        <v>107</v>
      </c>
      <c r="E140" s="2" t="s">
        <v>66</v>
      </c>
      <c r="F140" s="2"/>
      <c r="G140" s="2">
        <v>0</v>
      </c>
      <c r="H140" s="2">
        <v>0</v>
      </c>
      <c r="I140" s="2">
        <v>5</v>
      </c>
      <c r="J140" s="2">
        <v>5</v>
      </c>
      <c r="K140" s="2">
        <v>4</v>
      </c>
      <c r="L140" s="2">
        <v>16.5</v>
      </c>
      <c r="M140" s="2">
        <v>19</v>
      </c>
      <c r="N140" s="2">
        <v>27</v>
      </c>
      <c r="O140" s="2">
        <v>40</v>
      </c>
      <c r="P140" s="2"/>
      <c r="Q140" s="2"/>
      <c r="R140" s="2"/>
    </row>
    <row r="141" spans="1:18" s="66" customFormat="1" x14ac:dyDescent="0.25">
      <c r="A141" s="54" t="s">
        <v>126</v>
      </c>
      <c r="B141" s="66" t="s">
        <v>102</v>
      </c>
      <c r="C141" s="66" t="s">
        <v>47</v>
      </c>
      <c r="D141" s="67" t="s">
        <v>108</v>
      </c>
      <c r="E141" s="2" t="s">
        <v>66</v>
      </c>
      <c r="F141" s="2"/>
      <c r="G141" s="2">
        <v>0</v>
      </c>
      <c r="H141" s="2">
        <v>0</v>
      </c>
      <c r="I141" s="2">
        <v>0.98</v>
      </c>
      <c r="J141" s="2">
        <v>1.0900000000000001</v>
      </c>
      <c r="K141" s="2">
        <v>0.44</v>
      </c>
      <c r="L141" s="2">
        <v>4.1399999999999997</v>
      </c>
      <c r="M141" s="2">
        <v>2.99</v>
      </c>
      <c r="N141" s="2">
        <v>3.44</v>
      </c>
      <c r="O141" s="2">
        <v>5.1100000000000003</v>
      </c>
      <c r="P141" s="2"/>
      <c r="Q141" s="2"/>
      <c r="R141" s="2"/>
    </row>
    <row r="142" spans="1:18" x14ac:dyDescent="0.25">
      <c r="A142" s="88" t="s">
        <v>127</v>
      </c>
      <c r="B142" t="s">
        <v>46</v>
      </c>
      <c r="C142" t="s">
        <v>47</v>
      </c>
      <c r="D142" s="22" t="s">
        <v>48</v>
      </c>
      <c r="E142" s="2" t="s">
        <v>49</v>
      </c>
      <c r="G142" s="27">
        <v>0</v>
      </c>
      <c r="H142" s="27">
        <v>64.2</v>
      </c>
      <c r="I142" s="27">
        <v>38.700000000000003</v>
      </c>
      <c r="J142" s="27">
        <v>34.1</v>
      </c>
      <c r="K142" s="27">
        <v>62.4</v>
      </c>
      <c r="L142" s="27">
        <v>82.4</v>
      </c>
      <c r="M142" s="27">
        <v>84.5</v>
      </c>
      <c r="N142" s="27">
        <v>90.2</v>
      </c>
      <c r="O142" s="27">
        <v>86.3</v>
      </c>
      <c r="R142"/>
    </row>
    <row r="143" spans="1:18" x14ac:dyDescent="0.25">
      <c r="A143" s="88" t="s">
        <v>127</v>
      </c>
      <c r="B143" t="s">
        <v>46</v>
      </c>
      <c r="C143" t="s">
        <v>47</v>
      </c>
      <c r="D143" s="22" t="s">
        <v>50</v>
      </c>
      <c r="E143" s="2" t="s">
        <v>51</v>
      </c>
      <c r="G143" s="27">
        <v>0.04</v>
      </c>
      <c r="H143" s="27">
        <v>4.72</v>
      </c>
      <c r="I143" s="27">
        <v>6.99</v>
      </c>
      <c r="J143" s="27">
        <v>4</v>
      </c>
      <c r="K143" s="27">
        <v>6.07</v>
      </c>
      <c r="L143" s="27">
        <v>5.13</v>
      </c>
      <c r="M143" s="27">
        <v>4.29</v>
      </c>
      <c r="N143" s="27">
        <v>2.94</v>
      </c>
      <c r="O143" s="27">
        <v>2.09</v>
      </c>
      <c r="R143"/>
    </row>
    <row r="144" spans="1:18" x14ac:dyDescent="0.25">
      <c r="A144" s="88" t="s">
        <v>127</v>
      </c>
      <c r="B144" t="s">
        <v>46</v>
      </c>
      <c r="C144" t="s">
        <v>47</v>
      </c>
      <c r="D144" s="22" t="s">
        <v>52</v>
      </c>
      <c r="E144" s="2" t="s">
        <v>53</v>
      </c>
      <c r="G144" s="27">
        <v>49</v>
      </c>
      <c r="H144" s="27">
        <v>59</v>
      </c>
      <c r="I144" s="27">
        <v>39</v>
      </c>
      <c r="J144" s="27">
        <v>18</v>
      </c>
      <c r="K144" s="27">
        <v>25</v>
      </c>
      <c r="L144" s="27">
        <v>6</v>
      </c>
      <c r="M144" s="27">
        <v>14</v>
      </c>
      <c r="N144" s="27">
        <v>13</v>
      </c>
      <c r="O144" s="27">
        <v>2</v>
      </c>
      <c r="R144"/>
    </row>
    <row r="145" spans="1:18" x14ac:dyDescent="0.25">
      <c r="A145" s="88" t="s">
        <v>127</v>
      </c>
      <c r="B145" t="s">
        <v>46</v>
      </c>
      <c r="C145" t="s">
        <v>47</v>
      </c>
      <c r="D145" s="22" t="s">
        <v>54</v>
      </c>
      <c r="E145" s="2" t="s">
        <v>55</v>
      </c>
      <c r="G145" s="27">
        <v>0</v>
      </c>
      <c r="H145" s="27">
        <v>0</v>
      </c>
      <c r="I145" s="27">
        <v>0</v>
      </c>
      <c r="J145" s="27">
        <v>0</v>
      </c>
      <c r="K145" s="27">
        <v>0</v>
      </c>
      <c r="L145" s="27">
        <v>0</v>
      </c>
      <c r="M145" s="27">
        <v>0</v>
      </c>
      <c r="N145" s="27">
        <v>0</v>
      </c>
      <c r="O145" s="27">
        <v>0</v>
      </c>
      <c r="R145"/>
    </row>
    <row r="146" spans="1:18" x14ac:dyDescent="0.25">
      <c r="A146" s="88" t="s">
        <v>127</v>
      </c>
      <c r="B146" t="s">
        <v>56</v>
      </c>
      <c r="C146" t="s">
        <v>57</v>
      </c>
      <c r="D146" s="22" t="s">
        <v>58</v>
      </c>
      <c r="E146" s="13" t="s">
        <v>59</v>
      </c>
      <c r="G146" s="27">
        <f>SUM('Team-Level Template'!G220,'Team-Level Template'!G253)</f>
        <v>0</v>
      </c>
      <c r="H146" s="27">
        <v>0</v>
      </c>
      <c r="I146" s="27">
        <v>0</v>
      </c>
      <c r="J146" s="27">
        <v>0</v>
      </c>
      <c r="K146" s="27">
        <v>0</v>
      </c>
      <c r="L146" s="27">
        <v>0</v>
      </c>
      <c r="M146" s="27">
        <v>0</v>
      </c>
      <c r="N146" s="27">
        <v>0</v>
      </c>
      <c r="O146" s="27">
        <v>0</v>
      </c>
      <c r="R146"/>
    </row>
    <row r="147" spans="1:18" x14ac:dyDescent="0.25">
      <c r="A147" s="88" t="s">
        <v>127</v>
      </c>
      <c r="B147" t="s">
        <v>56</v>
      </c>
      <c r="C147" t="s">
        <v>57</v>
      </c>
      <c r="D147" s="23" t="s">
        <v>60</v>
      </c>
      <c r="E147" s="13" t="s">
        <v>61</v>
      </c>
      <c r="G147" s="27">
        <f>SUM('Team-Level Template'!G221,'Team-Level Template'!G254)</f>
        <v>52.6</v>
      </c>
      <c r="H147" s="27">
        <v>0</v>
      </c>
      <c r="I147" s="27">
        <v>0</v>
      </c>
      <c r="J147" s="27">
        <v>0</v>
      </c>
      <c r="K147" s="27">
        <v>0</v>
      </c>
      <c r="L147" s="27">
        <v>0</v>
      </c>
      <c r="M147" s="27">
        <v>0</v>
      </c>
      <c r="N147" s="27">
        <v>0</v>
      </c>
      <c r="O147" s="27">
        <v>0</v>
      </c>
      <c r="R147"/>
    </row>
    <row r="148" spans="1:18" x14ac:dyDescent="0.25">
      <c r="A148" s="88" t="s">
        <v>127</v>
      </c>
      <c r="B148" t="s">
        <v>56</v>
      </c>
      <c r="C148" t="s">
        <v>57</v>
      </c>
      <c r="D148" s="23" t="s">
        <v>62</v>
      </c>
      <c r="E148" s="13" t="s">
        <v>63</v>
      </c>
      <c r="G148" s="27">
        <f>SUM('Team-Level Template'!G222,'Team-Level Template'!G255)</f>
        <v>4.58</v>
      </c>
      <c r="H148" s="27">
        <v>1</v>
      </c>
      <c r="I148" s="27">
        <v>0</v>
      </c>
      <c r="J148" s="27">
        <v>0</v>
      </c>
      <c r="K148" s="27">
        <v>0</v>
      </c>
      <c r="L148" s="27">
        <v>0</v>
      </c>
      <c r="M148" s="27">
        <v>0</v>
      </c>
      <c r="N148" s="27">
        <v>1</v>
      </c>
      <c r="O148" s="27">
        <v>2</v>
      </c>
      <c r="R148"/>
    </row>
    <row r="149" spans="1:18" x14ac:dyDescent="0.25">
      <c r="A149" s="88" t="s">
        <v>127</v>
      </c>
      <c r="B149" t="s">
        <v>56</v>
      </c>
      <c r="C149" t="s">
        <v>57</v>
      </c>
      <c r="D149" s="22" t="s">
        <v>64</v>
      </c>
      <c r="E149" s="2" t="s">
        <v>65</v>
      </c>
      <c r="G149" s="27" t="s">
        <v>66</v>
      </c>
      <c r="H149" s="27" t="s">
        <v>66</v>
      </c>
      <c r="I149" s="27" t="s">
        <v>66</v>
      </c>
      <c r="J149" s="27" t="s">
        <v>66</v>
      </c>
      <c r="K149" s="27" t="s">
        <v>66</v>
      </c>
      <c r="L149" s="27" t="s">
        <v>66</v>
      </c>
      <c r="M149" s="27">
        <v>0</v>
      </c>
      <c r="N149" s="27">
        <v>0</v>
      </c>
      <c r="O149" s="27">
        <v>0</v>
      </c>
      <c r="R149"/>
    </row>
    <row r="150" spans="1:18" x14ac:dyDescent="0.25">
      <c r="A150" s="88" t="s">
        <v>127</v>
      </c>
      <c r="B150" t="s">
        <v>9</v>
      </c>
      <c r="C150" t="s">
        <v>67</v>
      </c>
      <c r="D150" s="22" t="s">
        <v>68</v>
      </c>
      <c r="E150" s="2" t="s">
        <v>69</v>
      </c>
      <c r="G150" s="27">
        <f>SUM('Team-Level Template'!G224)</f>
        <v>4</v>
      </c>
      <c r="H150" s="27">
        <v>6</v>
      </c>
      <c r="I150" s="27">
        <v>20</v>
      </c>
      <c r="J150" s="27">
        <v>5</v>
      </c>
      <c r="K150" s="27">
        <v>5</v>
      </c>
      <c r="L150" s="27">
        <v>10</v>
      </c>
      <c r="M150" s="27">
        <v>4</v>
      </c>
      <c r="N150" s="27">
        <v>12</v>
      </c>
      <c r="O150" s="27">
        <v>10</v>
      </c>
      <c r="R150"/>
    </row>
    <row r="151" spans="1:18" x14ac:dyDescent="0.25">
      <c r="A151" s="88" t="s">
        <v>127</v>
      </c>
      <c r="B151" t="s">
        <v>9</v>
      </c>
      <c r="C151" t="s">
        <v>67</v>
      </c>
      <c r="D151" s="22" t="s">
        <v>70</v>
      </c>
      <c r="E151" s="2" t="s">
        <v>69</v>
      </c>
      <c r="G151" s="27">
        <f>SUM('Team-Level Template'!G258)</f>
        <v>0</v>
      </c>
      <c r="H151" s="27">
        <v>8</v>
      </c>
      <c r="I151" s="27">
        <v>8</v>
      </c>
      <c r="J151" s="27">
        <v>9</v>
      </c>
      <c r="K151" s="27">
        <v>5</v>
      </c>
      <c r="L151" s="27">
        <v>6</v>
      </c>
      <c r="M151" s="27">
        <v>9</v>
      </c>
      <c r="N151" s="27">
        <v>7</v>
      </c>
      <c r="O151" s="27">
        <v>15</v>
      </c>
      <c r="R151"/>
    </row>
    <row r="152" spans="1:18" x14ac:dyDescent="0.25">
      <c r="A152" s="88" t="s">
        <v>127</v>
      </c>
      <c r="B152" t="s">
        <v>9</v>
      </c>
      <c r="C152" t="s">
        <v>71</v>
      </c>
      <c r="D152" s="20" t="s">
        <v>10</v>
      </c>
      <c r="E152" s="2" t="s">
        <v>11</v>
      </c>
      <c r="O152" s="27"/>
      <c r="R152"/>
    </row>
    <row r="153" spans="1:18" x14ac:dyDescent="0.25">
      <c r="A153" s="88" t="s">
        <v>127</v>
      </c>
      <c r="B153" t="s">
        <v>9</v>
      </c>
      <c r="C153" t="s">
        <v>71</v>
      </c>
      <c r="D153" s="20" t="s">
        <v>72</v>
      </c>
      <c r="E153" s="2" t="s">
        <v>73</v>
      </c>
      <c r="O153" s="27"/>
      <c r="R153"/>
    </row>
    <row r="154" spans="1:18" x14ac:dyDescent="0.25">
      <c r="A154" s="88" t="s">
        <v>127</v>
      </c>
      <c r="B154" t="s">
        <v>9</v>
      </c>
      <c r="C154" t="s">
        <v>71</v>
      </c>
      <c r="D154" s="20" t="s">
        <v>74</v>
      </c>
      <c r="E154" s="2" t="s">
        <v>71</v>
      </c>
      <c r="O154" s="27"/>
      <c r="R154"/>
    </row>
    <row r="155" spans="1:18" x14ac:dyDescent="0.25">
      <c r="A155" s="88" t="s">
        <v>127</v>
      </c>
      <c r="B155" t="s">
        <v>9</v>
      </c>
      <c r="C155" t="s">
        <v>71</v>
      </c>
      <c r="D155" s="20" t="s">
        <v>75</v>
      </c>
      <c r="E155" s="2" t="s">
        <v>71</v>
      </c>
      <c r="O155" s="27"/>
      <c r="R155"/>
    </row>
    <row r="156" spans="1:18" x14ac:dyDescent="0.25">
      <c r="A156" s="88" t="s">
        <v>127</v>
      </c>
      <c r="B156" t="s">
        <v>76</v>
      </c>
      <c r="C156" t="s">
        <v>67</v>
      </c>
      <c r="D156" s="22" t="s">
        <v>77</v>
      </c>
      <c r="E156" s="2" t="s">
        <v>78</v>
      </c>
      <c r="G156" s="27">
        <v>0</v>
      </c>
      <c r="H156" s="46">
        <v>0.16700000000000001</v>
      </c>
      <c r="I156" s="32">
        <v>0.66700000000000004</v>
      </c>
      <c r="J156" s="27">
        <v>0</v>
      </c>
      <c r="K156" s="27">
        <v>57.1</v>
      </c>
      <c r="L156" s="27">
        <v>57.1</v>
      </c>
      <c r="M156" s="27">
        <v>0</v>
      </c>
      <c r="N156" s="27">
        <v>33</v>
      </c>
      <c r="O156" s="27">
        <v>100</v>
      </c>
      <c r="R156"/>
    </row>
    <row r="157" spans="1:18" x14ac:dyDescent="0.25">
      <c r="A157" s="88" t="s">
        <v>127</v>
      </c>
      <c r="B157" t="s">
        <v>76</v>
      </c>
      <c r="C157" t="s">
        <v>47</v>
      </c>
      <c r="D157" s="22" t="s">
        <v>79</v>
      </c>
      <c r="E157" s="2" t="s">
        <v>80</v>
      </c>
      <c r="G157" s="27">
        <v>44</v>
      </c>
      <c r="H157" s="27">
        <v>53</v>
      </c>
      <c r="I157" s="27">
        <v>49</v>
      </c>
      <c r="J157" s="27">
        <v>81</v>
      </c>
      <c r="K157" s="27">
        <v>79</v>
      </c>
      <c r="L157" s="27">
        <v>67</v>
      </c>
      <c r="M157" s="27">
        <v>65</v>
      </c>
      <c r="N157" s="27">
        <v>62</v>
      </c>
      <c r="O157" s="27">
        <v>69</v>
      </c>
      <c r="R157"/>
    </row>
    <row r="158" spans="1:18" x14ac:dyDescent="0.25">
      <c r="A158" s="88" t="s">
        <v>127</v>
      </c>
      <c r="B158" t="s">
        <v>76</v>
      </c>
      <c r="C158" t="s">
        <v>47</v>
      </c>
      <c r="D158" s="22" t="s">
        <v>81</v>
      </c>
      <c r="E158" s="2" t="s">
        <v>82</v>
      </c>
      <c r="G158" s="27">
        <v>2</v>
      </c>
      <c r="H158" s="27">
        <v>2</v>
      </c>
      <c r="I158" s="27">
        <v>16</v>
      </c>
      <c r="J158" s="27">
        <v>3</v>
      </c>
      <c r="K158" s="27">
        <v>3</v>
      </c>
      <c r="L158" s="27">
        <v>19</v>
      </c>
      <c r="M158" s="27">
        <v>18</v>
      </c>
      <c r="N158" s="27">
        <v>20</v>
      </c>
      <c r="O158" s="27">
        <v>13</v>
      </c>
      <c r="R158"/>
    </row>
    <row r="159" spans="1:18" x14ac:dyDescent="0.25">
      <c r="A159" s="88" t="s">
        <v>127</v>
      </c>
      <c r="B159" t="s">
        <v>76</v>
      </c>
      <c r="C159" t="s">
        <v>47</v>
      </c>
      <c r="D159" s="22" t="s">
        <v>83</v>
      </c>
      <c r="E159" s="2" t="s">
        <v>84</v>
      </c>
      <c r="G159" s="27">
        <v>54</v>
      </c>
      <c r="H159" s="27">
        <v>45</v>
      </c>
      <c r="I159" s="27">
        <v>35</v>
      </c>
      <c r="J159" s="27">
        <v>16</v>
      </c>
      <c r="K159" s="27">
        <v>18</v>
      </c>
      <c r="L159" s="27">
        <v>14</v>
      </c>
      <c r="M159" s="27">
        <v>17</v>
      </c>
      <c r="N159" s="27">
        <v>18</v>
      </c>
      <c r="O159" s="27">
        <v>18</v>
      </c>
      <c r="R159"/>
    </row>
    <row r="160" spans="1:18" x14ac:dyDescent="0.25">
      <c r="A160" s="88" t="s">
        <v>127</v>
      </c>
      <c r="B160" t="s">
        <v>76</v>
      </c>
      <c r="C160" t="s">
        <v>47</v>
      </c>
      <c r="D160" s="22" t="s">
        <v>85</v>
      </c>
      <c r="E160" s="2" t="s">
        <v>66</v>
      </c>
      <c r="G160" s="27">
        <f>AVERAGE('Team-Level Template'!G267,'Team-Level Template'!G234)</f>
        <v>0</v>
      </c>
      <c r="H160" s="27">
        <v>0</v>
      </c>
      <c r="I160" s="27">
        <v>0</v>
      </c>
      <c r="J160" s="27">
        <v>0</v>
      </c>
      <c r="K160" s="27">
        <v>0</v>
      </c>
      <c r="L160" s="27">
        <v>0</v>
      </c>
      <c r="M160" s="27">
        <v>0</v>
      </c>
      <c r="N160" s="27">
        <v>0</v>
      </c>
      <c r="O160" s="27">
        <v>0</v>
      </c>
      <c r="R160"/>
    </row>
    <row r="161" spans="1:67" x14ac:dyDescent="0.25">
      <c r="A161" s="88" t="s">
        <v>127</v>
      </c>
      <c r="B161" t="s">
        <v>76</v>
      </c>
      <c r="C161" t="s">
        <v>71</v>
      </c>
      <c r="D161" s="20" t="s">
        <v>86</v>
      </c>
      <c r="E161" s="2" t="s">
        <v>87</v>
      </c>
      <c r="G161" s="27" t="s">
        <v>88</v>
      </c>
      <c r="H161" s="27" t="s">
        <v>88</v>
      </c>
      <c r="I161" s="27" t="s">
        <v>88</v>
      </c>
      <c r="J161" s="27" t="s">
        <v>88</v>
      </c>
      <c r="K161" s="27" t="s">
        <v>88</v>
      </c>
      <c r="L161" s="27" t="s">
        <v>88</v>
      </c>
      <c r="M161" s="27" t="s">
        <v>88</v>
      </c>
      <c r="N161" s="27" t="s">
        <v>88</v>
      </c>
      <c r="O161" s="27" t="s">
        <v>88</v>
      </c>
      <c r="R161"/>
    </row>
    <row r="162" spans="1:67" x14ac:dyDescent="0.25">
      <c r="A162" s="88" t="s">
        <v>127</v>
      </c>
      <c r="B162" t="s">
        <v>76</v>
      </c>
      <c r="C162" t="s">
        <v>71</v>
      </c>
      <c r="D162" s="20" t="s">
        <v>89</v>
      </c>
      <c r="E162" s="2" t="s">
        <v>90</v>
      </c>
      <c r="O162" s="27"/>
      <c r="R162"/>
    </row>
    <row r="163" spans="1:67" x14ac:dyDescent="0.25">
      <c r="A163" s="88" t="s">
        <v>127</v>
      </c>
      <c r="B163" t="s">
        <v>91</v>
      </c>
      <c r="C163" t="s">
        <v>47</v>
      </c>
      <c r="D163" s="15" t="s">
        <v>92</v>
      </c>
      <c r="E163" s="2" t="s">
        <v>93</v>
      </c>
      <c r="O163" s="27"/>
      <c r="R163"/>
    </row>
    <row r="164" spans="1:67" x14ac:dyDescent="0.25">
      <c r="A164" s="88" t="s">
        <v>127</v>
      </c>
      <c r="B164" t="s">
        <v>91</v>
      </c>
      <c r="C164" t="s">
        <v>47</v>
      </c>
      <c r="D164" s="15" t="s">
        <v>94</v>
      </c>
      <c r="E164" s="2" t="s">
        <v>71</v>
      </c>
      <c r="O164" s="27"/>
      <c r="R164"/>
    </row>
    <row r="165" spans="1:67" x14ac:dyDescent="0.25">
      <c r="A165" s="88" t="s">
        <v>127</v>
      </c>
      <c r="B165" t="s">
        <v>91</v>
      </c>
      <c r="C165" t="s">
        <v>47</v>
      </c>
      <c r="D165" s="15" t="s">
        <v>95</v>
      </c>
      <c r="E165" s="2" t="s">
        <v>96</v>
      </c>
      <c r="O165" s="27"/>
      <c r="R165"/>
    </row>
    <row r="166" spans="1:67" x14ac:dyDescent="0.25">
      <c r="A166" s="88" t="s">
        <v>127</v>
      </c>
      <c r="B166" t="s">
        <v>91</v>
      </c>
      <c r="C166" t="s">
        <v>47</v>
      </c>
      <c r="D166" s="15" t="s">
        <v>97</v>
      </c>
      <c r="E166" s="2" t="s">
        <v>98</v>
      </c>
      <c r="O166" s="27"/>
      <c r="R166"/>
    </row>
    <row r="167" spans="1:67" x14ac:dyDescent="0.25">
      <c r="A167" s="88" t="s">
        <v>127</v>
      </c>
      <c r="B167" t="s">
        <v>91</v>
      </c>
      <c r="C167" t="s">
        <v>71</v>
      </c>
      <c r="D167" s="20" t="s">
        <v>99</v>
      </c>
      <c r="E167" s="2" t="s">
        <v>100</v>
      </c>
      <c r="O167" s="27"/>
      <c r="R167"/>
    </row>
    <row r="168" spans="1:67" x14ac:dyDescent="0.25">
      <c r="A168" s="88" t="s">
        <v>127</v>
      </c>
      <c r="B168" t="s">
        <v>91</v>
      </c>
      <c r="C168" t="s">
        <v>71</v>
      </c>
      <c r="D168" t="s">
        <v>101</v>
      </c>
      <c r="E168" s="2" t="s">
        <v>71</v>
      </c>
      <c r="G168" s="27">
        <v>0</v>
      </c>
      <c r="H168" s="27">
        <v>0</v>
      </c>
      <c r="I168" s="27">
        <v>0</v>
      </c>
      <c r="J168" s="27">
        <v>0</v>
      </c>
      <c r="K168" s="27">
        <v>0</v>
      </c>
      <c r="L168" s="27">
        <v>0</v>
      </c>
      <c r="M168" s="27">
        <v>0</v>
      </c>
      <c r="N168" s="27">
        <v>0</v>
      </c>
      <c r="O168" s="27">
        <v>0</v>
      </c>
      <c r="R168"/>
    </row>
    <row r="169" spans="1:67" x14ac:dyDescent="0.25">
      <c r="A169" s="88" t="s">
        <v>127</v>
      </c>
      <c r="B169" t="s">
        <v>102</v>
      </c>
      <c r="C169" t="s">
        <v>47</v>
      </c>
      <c r="D169" s="22" t="s">
        <v>103</v>
      </c>
      <c r="E169" s="2" t="s">
        <v>66</v>
      </c>
      <c r="G169" s="27">
        <v>1</v>
      </c>
      <c r="H169" s="27">
        <v>21</v>
      </c>
      <c r="I169" s="27">
        <v>22</v>
      </c>
      <c r="J169" s="27">
        <v>29</v>
      </c>
      <c r="K169" s="27">
        <v>20</v>
      </c>
      <c r="L169" s="27">
        <v>25.5</v>
      </c>
      <c r="M169" s="27">
        <v>32</v>
      </c>
      <c r="N169" s="27">
        <v>35</v>
      </c>
      <c r="O169" s="27">
        <v>43</v>
      </c>
      <c r="R169"/>
    </row>
    <row r="170" spans="1:67" x14ac:dyDescent="0.25">
      <c r="A170" s="88" t="s">
        <v>127</v>
      </c>
      <c r="B170" t="s">
        <v>102</v>
      </c>
      <c r="C170" t="s">
        <v>47</v>
      </c>
      <c r="D170" s="22" t="s">
        <v>104</v>
      </c>
      <c r="E170" s="2" t="s">
        <v>66</v>
      </c>
      <c r="G170" s="27">
        <v>0.27</v>
      </c>
      <c r="H170" s="27">
        <v>2.06</v>
      </c>
      <c r="I170" s="27">
        <v>1.82</v>
      </c>
      <c r="J170" s="27">
        <v>2.4500000000000002</v>
      </c>
      <c r="K170" s="27">
        <v>1.39</v>
      </c>
      <c r="L170" s="27">
        <v>2.12</v>
      </c>
      <c r="M170" s="27">
        <v>2.62</v>
      </c>
      <c r="N170" s="27">
        <v>4.17</v>
      </c>
      <c r="O170" s="27">
        <v>4.53</v>
      </c>
      <c r="R170"/>
    </row>
    <row r="171" spans="1:67" x14ac:dyDescent="0.25">
      <c r="A171" s="88" t="s">
        <v>127</v>
      </c>
      <c r="B171" t="s">
        <v>102</v>
      </c>
      <c r="C171" t="s">
        <v>47</v>
      </c>
      <c r="D171" s="22" t="s">
        <v>105</v>
      </c>
      <c r="E171" s="2" t="s">
        <v>66</v>
      </c>
      <c r="G171" s="27">
        <v>1</v>
      </c>
      <c r="H171" s="27">
        <v>22</v>
      </c>
      <c r="I171" s="27">
        <v>22</v>
      </c>
      <c r="J171" s="27">
        <v>29</v>
      </c>
      <c r="K171" s="27">
        <v>18</v>
      </c>
      <c r="L171" s="27">
        <v>25</v>
      </c>
      <c r="M171" s="27">
        <v>31</v>
      </c>
      <c r="N171" s="27">
        <v>36</v>
      </c>
      <c r="O171" s="27">
        <v>45</v>
      </c>
      <c r="R171"/>
    </row>
    <row r="172" spans="1:67" x14ac:dyDescent="0.25">
      <c r="A172" s="88" t="s">
        <v>127</v>
      </c>
      <c r="B172" t="s">
        <v>102</v>
      </c>
      <c r="C172" t="s">
        <v>47</v>
      </c>
      <c r="D172" s="22" t="s">
        <v>106</v>
      </c>
      <c r="E172" s="2" t="s">
        <v>66</v>
      </c>
      <c r="G172" s="27">
        <v>0.27</v>
      </c>
      <c r="H172" s="27">
        <v>2.11</v>
      </c>
      <c r="I172" s="27">
        <v>1.83</v>
      </c>
      <c r="J172" s="27">
        <v>2.5099999999999998</v>
      </c>
      <c r="K172" s="27">
        <v>1.33</v>
      </c>
      <c r="L172" s="27">
        <v>2.12</v>
      </c>
      <c r="M172" s="27">
        <v>2.57</v>
      </c>
      <c r="N172" s="27">
        <v>4.13</v>
      </c>
      <c r="O172" s="27">
        <v>4.38</v>
      </c>
      <c r="R172"/>
    </row>
    <row r="173" spans="1:67" x14ac:dyDescent="0.25">
      <c r="A173" s="88" t="s">
        <v>127</v>
      </c>
      <c r="B173" t="s">
        <v>102</v>
      </c>
      <c r="C173" t="s">
        <v>47</v>
      </c>
      <c r="D173" s="22" t="s">
        <v>107</v>
      </c>
      <c r="E173" s="2" t="s">
        <v>66</v>
      </c>
      <c r="G173" s="27">
        <v>0</v>
      </c>
      <c r="H173" s="27">
        <v>19</v>
      </c>
      <c r="I173" s="27">
        <v>20</v>
      </c>
      <c r="J173" s="27">
        <v>34</v>
      </c>
      <c r="K173" s="27">
        <v>12</v>
      </c>
      <c r="L173" s="27">
        <v>32</v>
      </c>
      <c r="M173" s="27">
        <v>32</v>
      </c>
      <c r="N173" s="27">
        <v>34</v>
      </c>
      <c r="O173" s="27">
        <v>40</v>
      </c>
      <c r="R173"/>
    </row>
    <row r="174" spans="1:67" x14ac:dyDescent="0.25">
      <c r="A174" s="88" t="s">
        <v>127</v>
      </c>
      <c r="B174" s="17" t="s">
        <v>102</v>
      </c>
      <c r="C174" s="17" t="s">
        <v>47</v>
      </c>
      <c r="D174" s="24" t="s">
        <v>108</v>
      </c>
      <c r="E174" s="18" t="s">
        <v>66</v>
      </c>
      <c r="G174" s="27">
        <v>0.23</v>
      </c>
      <c r="H174" s="27">
        <v>1.72</v>
      </c>
      <c r="I174" s="27">
        <v>1.75</v>
      </c>
      <c r="J174" s="27">
        <v>3.45</v>
      </c>
      <c r="K174" s="27">
        <v>1.31</v>
      </c>
      <c r="L174" s="27">
        <v>3.22</v>
      </c>
      <c r="M174" s="27">
        <v>2.65</v>
      </c>
      <c r="N174" s="27">
        <v>3.02</v>
      </c>
      <c r="O174" s="27">
        <v>4.24</v>
      </c>
      <c r="R174"/>
    </row>
    <row r="175" spans="1:67" s="66" customFormat="1" ht="123.75" x14ac:dyDescent="0.25">
      <c r="A175" s="88" t="s">
        <v>127</v>
      </c>
      <c r="B175" s="66" t="s">
        <v>66</v>
      </c>
      <c r="C175" s="66" t="s">
        <v>66</v>
      </c>
      <c r="D175" s="67" t="s">
        <v>112</v>
      </c>
      <c r="E175" s="2" t="s">
        <v>66</v>
      </c>
      <c r="F175" s="2"/>
      <c r="G175" s="93"/>
      <c r="H175" s="93"/>
      <c r="I175" s="93"/>
      <c r="J175" s="93"/>
      <c r="K175" s="93"/>
      <c r="L175" s="93"/>
      <c r="M175" s="93"/>
      <c r="N175" s="93" t="s">
        <v>128</v>
      </c>
      <c r="O175" s="103" t="s">
        <v>129</v>
      </c>
      <c r="P175" s="93"/>
      <c r="Q175" s="93"/>
      <c r="R175" s="93"/>
      <c r="S175" s="93"/>
      <c r="T175" s="93"/>
      <c r="U175" s="93"/>
      <c r="V175" s="93"/>
      <c r="W175" s="93"/>
      <c r="X175" s="93"/>
      <c r="Y175" s="93"/>
      <c r="Z175" s="93"/>
      <c r="AA175" s="93"/>
      <c r="AB175" s="93"/>
      <c r="AC175" s="93"/>
      <c r="AD175" s="93"/>
      <c r="AE175" s="93"/>
      <c r="AF175" s="93"/>
      <c r="AG175" s="93"/>
      <c r="AH175" s="93"/>
      <c r="AI175" s="93"/>
      <c r="AJ175" s="93"/>
      <c r="AK175" s="93"/>
      <c r="AL175" s="93"/>
      <c r="AM175" s="93"/>
      <c r="AN175" s="93"/>
      <c r="AO175" s="93"/>
      <c r="AP175" s="90"/>
      <c r="AQ175" s="90"/>
      <c r="AR175" s="90"/>
      <c r="AS175" s="90"/>
      <c r="AT175" s="90"/>
      <c r="AU175" s="90"/>
      <c r="AV175" s="90"/>
      <c r="AW175" s="90"/>
      <c r="AX175" s="90"/>
      <c r="AY175" s="90"/>
      <c r="AZ175" s="90"/>
      <c r="BA175" s="90"/>
      <c r="BB175" s="90"/>
      <c r="BC175" s="90"/>
      <c r="BD175" s="90"/>
      <c r="BE175" s="90"/>
      <c r="BF175" s="90"/>
      <c r="BG175" s="90"/>
      <c r="BH175" s="90"/>
      <c r="BI175" s="90"/>
      <c r="BJ175" s="90"/>
      <c r="BK175" s="90"/>
      <c r="BL175" s="90"/>
      <c r="BM175" s="90"/>
      <c r="BN175" s="90"/>
      <c r="BO175" s="90"/>
    </row>
    <row r="176" spans="1:67" s="66" customFormat="1" ht="90" x14ac:dyDescent="0.25">
      <c r="A176" s="54" t="s">
        <v>127</v>
      </c>
      <c r="B176" s="66" t="s">
        <v>66</v>
      </c>
      <c r="C176" s="66" t="s">
        <v>66</v>
      </c>
      <c r="D176" s="67" t="s">
        <v>115</v>
      </c>
      <c r="E176" s="2" t="s">
        <v>66</v>
      </c>
      <c r="F176" s="2"/>
      <c r="G176" s="93"/>
      <c r="H176" s="93"/>
      <c r="I176" s="93"/>
      <c r="J176" s="93"/>
      <c r="K176" s="93"/>
      <c r="L176" s="93"/>
      <c r="M176" s="93"/>
      <c r="N176" s="93" t="s">
        <v>130</v>
      </c>
      <c r="O176" s="97"/>
      <c r="P176" s="93"/>
      <c r="Q176" s="93"/>
      <c r="R176" s="93"/>
      <c r="S176" s="93"/>
      <c r="T176" s="93"/>
      <c r="U176" s="93"/>
      <c r="V176" s="93"/>
      <c r="W176" s="93"/>
      <c r="X176" s="93"/>
      <c r="Y176" s="93"/>
      <c r="Z176" s="93"/>
      <c r="AA176" s="93"/>
      <c r="AB176" s="93"/>
      <c r="AC176" s="93"/>
      <c r="AD176" s="93"/>
      <c r="AE176" s="93"/>
      <c r="AF176" s="93"/>
      <c r="AG176" s="93"/>
      <c r="AH176" s="93"/>
      <c r="AI176" s="93"/>
      <c r="AJ176" s="93"/>
      <c r="AK176" s="93"/>
      <c r="AL176" s="93"/>
      <c r="AM176" s="93"/>
      <c r="AN176" s="93"/>
      <c r="AO176" s="93"/>
      <c r="AP176" s="90"/>
      <c r="AQ176" s="90"/>
      <c r="AR176" s="90"/>
      <c r="AS176" s="90"/>
      <c r="AT176" s="90"/>
      <c r="AU176" s="90"/>
      <c r="AV176" s="90"/>
      <c r="AW176" s="90"/>
      <c r="AX176" s="90"/>
      <c r="AY176" s="90"/>
      <c r="AZ176" s="90"/>
      <c r="BA176" s="90"/>
      <c r="BB176" s="90"/>
      <c r="BC176" s="90"/>
      <c r="BD176" s="90"/>
      <c r="BE176" s="90"/>
      <c r="BF176" s="90"/>
      <c r="BG176" s="90"/>
      <c r="BH176" s="90"/>
      <c r="BI176" s="90"/>
      <c r="BJ176" s="90"/>
      <c r="BK176" s="90"/>
      <c r="BL176" s="90"/>
      <c r="BM176" s="90"/>
      <c r="BN176" s="90"/>
      <c r="BO176" s="90"/>
    </row>
    <row r="177" spans="1:67" s="73" customFormat="1" x14ac:dyDescent="0.25">
      <c r="A177" s="82" t="s">
        <v>127</v>
      </c>
      <c r="B177" s="73" t="s">
        <v>66</v>
      </c>
      <c r="C177" s="73" t="s">
        <v>66</v>
      </c>
      <c r="D177" s="74" t="s">
        <v>118</v>
      </c>
      <c r="E177" s="18" t="s">
        <v>66</v>
      </c>
      <c r="F177" s="18"/>
      <c r="G177" s="94"/>
      <c r="H177" s="94"/>
      <c r="I177" s="94"/>
      <c r="J177" s="94"/>
      <c r="K177" s="94"/>
      <c r="L177" s="94"/>
      <c r="M177" s="94"/>
      <c r="N177" s="94"/>
      <c r="O177" s="89"/>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5"/>
      <c r="AQ177" s="95"/>
      <c r="AR177" s="95"/>
      <c r="AS177" s="95"/>
      <c r="AT177" s="95"/>
      <c r="AU177" s="95"/>
      <c r="AV177" s="95"/>
      <c r="AW177" s="95"/>
      <c r="AX177" s="95"/>
      <c r="AY177" s="95"/>
      <c r="AZ177" s="95"/>
      <c r="BA177" s="95"/>
      <c r="BB177" s="95"/>
      <c r="BC177" s="95"/>
      <c r="BD177" s="95"/>
      <c r="BE177" s="95"/>
      <c r="BF177" s="95"/>
      <c r="BG177" s="95"/>
      <c r="BH177" s="95"/>
      <c r="BI177" s="95"/>
      <c r="BJ177" s="95"/>
      <c r="BK177" s="95"/>
      <c r="BL177" s="95"/>
      <c r="BM177" s="95"/>
      <c r="BN177" s="95"/>
      <c r="BO177" s="95"/>
    </row>
    <row r="179" spans="1:67" x14ac:dyDescent="0.25">
      <c r="A179" s="1" t="s">
        <v>131</v>
      </c>
      <c r="B179" t="s">
        <v>46</v>
      </c>
      <c r="C179" t="s">
        <v>47</v>
      </c>
      <c r="D179" s="22" t="s">
        <v>48</v>
      </c>
      <c r="E179" s="2" t="s">
        <v>49</v>
      </c>
      <c r="F179" s="2"/>
      <c r="G179" s="32">
        <v>0.61799999999999999</v>
      </c>
      <c r="H179" s="33">
        <v>0.56000000000000005</v>
      </c>
      <c r="I179" s="32">
        <v>0.63800000000000001</v>
      </c>
      <c r="J179" s="32">
        <v>0.80700000000000005</v>
      </c>
      <c r="K179" s="32">
        <v>0.68700000000000006</v>
      </c>
      <c r="L179" s="32">
        <v>0.67400000000000004</v>
      </c>
      <c r="M179" s="33">
        <v>0.72</v>
      </c>
      <c r="N179" s="80">
        <v>0.65300000000000002</v>
      </c>
      <c r="O179" s="50">
        <v>0.71199999999999997</v>
      </c>
    </row>
    <row r="180" spans="1:67" x14ac:dyDescent="0.25">
      <c r="A180" s="1" t="s">
        <v>131</v>
      </c>
      <c r="B180" t="s">
        <v>46</v>
      </c>
      <c r="C180" t="s">
        <v>47</v>
      </c>
      <c r="D180" s="22" t="s">
        <v>50</v>
      </c>
      <c r="E180" s="2" t="s">
        <v>51</v>
      </c>
      <c r="F180" s="2"/>
      <c r="G180" s="27">
        <v>5.14</v>
      </c>
      <c r="H180" s="27">
        <v>5.71</v>
      </c>
      <c r="I180" s="27">
        <v>5.98</v>
      </c>
      <c r="J180" s="27">
        <v>5.12</v>
      </c>
      <c r="K180" s="27">
        <v>5.31</v>
      </c>
      <c r="L180" s="27">
        <v>4.51</v>
      </c>
      <c r="M180" s="27">
        <v>6.96</v>
      </c>
      <c r="N180" s="2">
        <v>4.2149999999999999</v>
      </c>
      <c r="O180">
        <v>4.5599999999999996</v>
      </c>
    </row>
    <row r="181" spans="1:67" x14ac:dyDescent="0.25">
      <c r="A181" s="1" t="s">
        <v>131</v>
      </c>
      <c r="B181" t="s">
        <v>46</v>
      </c>
      <c r="C181" t="s">
        <v>47</v>
      </c>
      <c r="D181" s="22" t="s">
        <v>52</v>
      </c>
      <c r="E181" s="2" t="s">
        <v>53</v>
      </c>
      <c r="F181" s="2"/>
      <c r="G181" s="33">
        <v>0.24</v>
      </c>
      <c r="H181" s="33">
        <v>0.22</v>
      </c>
      <c r="I181" s="33">
        <v>0.34</v>
      </c>
      <c r="J181" s="33">
        <v>0.64</v>
      </c>
      <c r="K181" s="33">
        <v>0.43</v>
      </c>
      <c r="L181" s="33">
        <v>0.3</v>
      </c>
      <c r="M181" s="33">
        <v>0.03</v>
      </c>
      <c r="N181" s="80">
        <v>1.4999999999999999E-2</v>
      </c>
      <c r="O181" s="38">
        <v>0</v>
      </c>
    </row>
    <row r="182" spans="1:67" x14ac:dyDescent="0.25">
      <c r="A182" s="1" t="s">
        <v>131</v>
      </c>
      <c r="B182" t="s">
        <v>46</v>
      </c>
      <c r="C182" t="s">
        <v>47</v>
      </c>
      <c r="D182" s="22" t="s">
        <v>54</v>
      </c>
      <c r="E182" s="2" t="s">
        <v>55</v>
      </c>
      <c r="F182" s="2"/>
      <c r="G182" s="27">
        <v>0</v>
      </c>
      <c r="H182" s="27">
        <v>0</v>
      </c>
      <c r="I182" s="27">
        <v>0</v>
      </c>
      <c r="J182" s="27">
        <v>0</v>
      </c>
      <c r="K182" s="27">
        <v>0</v>
      </c>
      <c r="L182" s="27">
        <v>0</v>
      </c>
      <c r="M182" s="27">
        <v>0</v>
      </c>
      <c r="N182" s="2">
        <v>0</v>
      </c>
      <c r="O182">
        <v>0</v>
      </c>
    </row>
    <row r="183" spans="1:67" x14ac:dyDescent="0.25">
      <c r="A183" s="1" t="s">
        <v>131</v>
      </c>
      <c r="B183" t="s">
        <v>56</v>
      </c>
      <c r="C183" t="s">
        <v>57</v>
      </c>
      <c r="D183" s="22" t="s">
        <v>58</v>
      </c>
      <c r="E183" s="13" t="s">
        <v>59</v>
      </c>
      <c r="F183" s="13"/>
      <c r="G183" s="27">
        <v>0</v>
      </c>
      <c r="H183" s="27">
        <v>0</v>
      </c>
      <c r="I183" s="27">
        <v>0</v>
      </c>
      <c r="J183" s="27">
        <v>0</v>
      </c>
      <c r="K183" s="27">
        <v>0</v>
      </c>
      <c r="L183" s="27">
        <v>0</v>
      </c>
      <c r="M183" s="27">
        <v>0</v>
      </c>
      <c r="N183" s="2">
        <v>0</v>
      </c>
      <c r="O183">
        <v>0</v>
      </c>
    </row>
    <row r="184" spans="1:67" x14ac:dyDescent="0.25">
      <c r="A184" s="1" t="s">
        <v>131</v>
      </c>
      <c r="B184" t="s">
        <v>56</v>
      </c>
      <c r="C184" t="s">
        <v>57</v>
      </c>
      <c r="D184" s="23" t="s">
        <v>60</v>
      </c>
      <c r="E184" s="13" t="s">
        <v>61</v>
      </c>
      <c r="F184" s="13"/>
      <c r="G184" s="27">
        <v>0</v>
      </c>
      <c r="H184" s="27">
        <v>0</v>
      </c>
      <c r="I184" s="27">
        <v>0</v>
      </c>
      <c r="J184" s="27">
        <v>0</v>
      </c>
      <c r="K184" s="27">
        <v>0</v>
      </c>
      <c r="L184" s="27">
        <v>0</v>
      </c>
      <c r="M184" s="27">
        <v>0</v>
      </c>
      <c r="N184" s="2">
        <v>0</v>
      </c>
      <c r="O184">
        <v>0</v>
      </c>
    </row>
    <row r="185" spans="1:67" x14ac:dyDescent="0.25">
      <c r="A185" s="1" t="s">
        <v>131</v>
      </c>
      <c r="B185" t="s">
        <v>56</v>
      </c>
      <c r="C185" t="s">
        <v>57</v>
      </c>
      <c r="D185" s="23" t="s">
        <v>62</v>
      </c>
      <c r="E185" s="13" t="s">
        <v>63</v>
      </c>
      <c r="F185" s="13"/>
      <c r="G185" s="27">
        <v>0</v>
      </c>
      <c r="H185" s="27">
        <v>0</v>
      </c>
      <c r="I185" s="27">
        <v>0</v>
      </c>
      <c r="J185" s="27">
        <v>0</v>
      </c>
      <c r="K185" s="27">
        <v>0</v>
      </c>
      <c r="L185" s="27">
        <v>0</v>
      </c>
      <c r="M185" s="27">
        <v>0</v>
      </c>
      <c r="N185" s="2">
        <v>0</v>
      </c>
      <c r="O185">
        <v>0</v>
      </c>
    </row>
    <row r="186" spans="1:67" x14ac:dyDescent="0.25">
      <c r="A186" s="1" t="s">
        <v>131</v>
      </c>
      <c r="B186" t="s">
        <v>56</v>
      </c>
      <c r="C186" t="s">
        <v>57</v>
      </c>
      <c r="D186" s="22" t="s">
        <v>64</v>
      </c>
      <c r="E186" s="2" t="s">
        <v>65</v>
      </c>
      <c r="F186" s="2"/>
      <c r="G186" s="27" t="s">
        <v>110</v>
      </c>
      <c r="H186" s="27" t="s">
        <v>110</v>
      </c>
      <c r="I186" s="27" t="s">
        <v>110</v>
      </c>
      <c r="J186" s="27" t="s">
        <v>110</v>
      </c>
      <c r="K186" s="27" t="s">
        <v>110</v>
      </c>
      <c r="L186" s="27" t="s">
        <v>110</v>
      </c>
      <c r="M186" s="27" t="s">
        <v>110</v>
      </c>
      <c r="N186" s="2" t="s">
        <v>110</v>
      </c>
      <c r="O186" s="66" t="s">
        <v>110</v>
      </c>
    </row>
    <row r="187" spans="1:67" x14ac:dyDescent="0.25">
      <c r="A187" s="1" t="s">
        <v>131</v>
      </c>
      <c r="B187" t="s">
        <v>9</v>
      </c>
      <c r="C187" t="s">
        <v>67</v>
      </c>
      <c r="D187" s="22" t="s">
        <v>68</v>
      </c>
      <c r="E187" s="2" t="s">
        <v>69</v>
      </c>
      <c r="F187" s="2"/>
      <c r="G187" s="27">
        <v>2</v>
      </c>
      <c r="H187" s="27">
        <v>4</v>
      </c>
      <c r="I187" s="27">
        <v>3</v>
      </c>
      <c r="J187" s="27">
        <v>1</v>
      </c>
      <c r="K187" s="27">
        <v>2</v>
      </c>
      <c r="L187" s="27">
        <v>3</v>
      </c>
      <c r="M187" s="27">
        <v>3</v>
      </c>
      <c r="N187" s="27">
        <v>3</v>
      </c>
      <c r="O187">
        <v>5</v>
      </c>
    </row>
    <row r="188" spans="1:67" x14ac:dyDescent="0.25">
      <c r="A188" s="1" t="s">
        <v>131</v>
      </c>
      <c r="B188" t="s">
        <v>9</v>
      </c>
      <c r="C188" t="s">
        <v>67</v>
      </c>
      <c r="D188" s="22" t="s">
        <v>70</v>
      </c>
      <c r="E188" s="2" t="s">
        <v>69</v>
      </c>
      <c r="F188" s="2"/>
      <c r="G188" s="27">
        <v>1</v>
      </c>
      <c r="H188" s="27">
        <v>4</v>
      </c>
      <c r="I188" s="27">
        <v>3</v>
      </c>
      <c r="J188" s="27">
        <v>0</v>
      </c>
      <c r="K188" s="27">
        <v>3</v>
      </c>
      <c r="L188" s="27">
        <v>3</v>
      </c>
      <c r="M188" s="27">
        <v>3</v>
      </c>
      <c r="N188" s="27">
        <v>2</v>
      </c>
      <c r="O188">
        <v>2</v>
      </c>
    </row>
    <row r="189" spans="1:67" x14ac:dyDescent="0.25">
      <c r="A189" s="1" t="s">
        <v>131</v>
      </c>
      <c r="B189" t="s">
        <v>9</v>
      </c>
      <c r="C189" t="s">
        <v>71</v>
      </c>
      <c r="D189" s="20" t="s">
        <v>10</v>
      </c>
      <c r="E189" s="2" t="s">
        <v>11</v>
      </c>
      <c r="F189" s="2"/>
    </row>
    <row r="190" spans="1:67" x14ac:dyDescent="0.25">
      <c r="A190" s="1" t="s">
        <v>131</v>
      </c>
      <c r="B190" t="s">
        <v>9</v>
      </c>
      <c r="C190" t="s">
        <v>71</v>
      </c>
      <c r="D190" s="20" t="s">
        <v>72</v>
      </c>
      <c r="E190" s="2" t="s">
        <v>73</v>
      </c>
      <c r="F190" s="2"/>
    </row>
    <row r="191" spans="1:67" x14ac:dyDescent="0.25">
      <c r="A191" s="1" t="s">
        <v>131</v>
      </c>
      <c r="B191" t="s">
        <v>9</v>
      </c>
      <c r="C191" t="s">
        <v>71</v>
      </c>
      <c r="D191" s="20" t="s">
        <v>74</v>
      </c>
      <c r="E191" s="2" t="s">
        <v>71</v>
      </c>
      <c r="F191" s="2"/>
    </row>
    <row r="192" spans="1:67" x14ac:dyDescent="0.25">
      <c r="A192" s="1" t="s">
        <v>131</v>
      </c>
      <c r="B192" t="s">
        <v>9</v>
      </c>
      <c r="C192" t="s">
        <v>71</v>
      </c>
      <c r="D192" s="20" t="s">
        <v>75</v>
      </c>
      <c r="E192" s="2" t="s">
        <v>71</v>
      </c>
      <c r="F192" s="2"/>
    </row>
    <row r="193" spans="1:15" x14ac:dyDescent="0.25">
      <c r="A193" s="1" t="s">
        <v>131</v>
      </c>
      <c r="B193" t="s">
        <v>76</v>
      </c>
      <c r="C193" t="s">
        <v>67</v>
      </c>
      <c r="D193" s="22" t="s">
        <v>77</v>
      </c>
      <c r="E193" s="2" t="s">
        <v>78</v>
      </c>
      <c r="F193" s="2"/>
      <c r="G193" s="27">
        <v>100</v>
      </c>
      <c r="H193" s="27">
        <v>100</v>
      </c>
      <c r="I193" s="27">
        <v>100</v>
      </c>
      <c r="J193" s="27">
        <v>100</v>
      </c>
      <c r="K193" s="27">
        <v>50</v>
      </c>
      <c r="L193" s="27">
        <v>100</v>
      </c>
      <c r="M193" s="27">
        <v>0</v>
      </c>
      <c r="N193" s="27">
        <v>0</v>
      </c>
      <c r="O193" s="38">
        <v>1</v>
      </c>
    </row>
    <row r="194" spans="1:15" x14ac:dyDescent="0.25">
      <c r="A194" s="1" t="s">
        <v>131</v>
      </c>
      <c r="B194" t="s">
        <v>76</v>
      </c>
      <c r="C194" t="s">
        <v>47</v>
      </c>
      <c r="D194" s="22" t="s">
        <v>79</v>
      </c>
      <c r="E194" s="2" t="s">
        <v>80</v>
      </c>
      <c r="F194" s="2"/>
      <c r="G194" s="27">
        <v>75</v>
      </c>
      <c r="H194" s="27">
        <v>79</v>
      </c>
      <c r="I194" s="27">
        <v>77</v>
      </c>
      <c r="J194" s="27">
        <v>80</v>
      </c>
      <c r="K194" s="27">
        <v>76</v>
      </c>
      <c r="L194" s="27">
        <v>62</v>
      </c>
      <c r="M194" s="27">
        <v>46</v>
      </c>
      <c r="N194" s="27">
        <v>61</v>
      </c>
      <c r="O194">
        <v>56</v>
      </c>
    </row>
    <row r="195" spans="1:15" x14ac:dyDescent="0.25">
      <c r="A195" s="1" t="s">
        <v>131</v>
      </c>
      <c r="B195" t="s">
        <v>76</v>
      </c>
      <c r="C195" t="s">
        <v>47</v>
      </c>
      <c r="D195" s="22" t="s">
        <v>81</v>
      </c>
      <c r="E195" s="2" t="s">
        <v>82</v>
      </c>
      <c r="F195" s="2"/>
      <c r="G195" s="27">
        <v>23</v>
      </c>
      <c r="H195" s="27">
        <v>17</v>
      </c>
      <c r="I195" s="27">
        <v>21</v>
      </c>
      <c r="J195" s="27">
        <v>18</v>
      </c>
      <c r="K195" s="27">
        <v>17</v>
      </c>
      <c r="L195" s="27">
        <v>38</v>
      </c>
      <c r="M195" s="27">
        <v>50</v>
      </c>
      <c r="N195" s="27">
        <v>39</v>
      </c>
      <c r="O195">
        <v>44</v>
      </c>
    </row>
    <row r="196" spans="1:15" x14ac:dyDescent="0.25">
      <c r="A196" s="1" t="s">
        <v>131</v>
      </c>
      <c r="B196" t="s">
        <v>76</v>
      </c>
      <c r="C196" t="s">
        <v>47</v>
      </c>
      <c r="D196" s="22" t="s">
        <v>83</v>
      </c>
      <c r="E196" s="2" t="s">
        <v>84</v>
      </c>
      <c r="F196" s="2"/>
      <c r="G196" s="27">
        <v>2</v>
      </c>
      <c r="H196" s="27">
        <v>4</v>
      </c>
      <c r="I196" s="27">
        <v>2</v>
      </c>
      <c r="J196" s="27">
        <v>2</v>
      </c>
      <c r="K196" s="27">
        <v>7</v>
      </c>
      <c r="L196" s="27">
        <v>0</v>
      </c>
      <c r="M196" s="27">
        <v>4</v>
      </c>
      <c r="N196" s="27">
        <v>0</v>
      </c>
      <c r="O196">
        <v>0</v>
      </c>
    </row>
    <row r="197" spans="1:15" x14ac:dyDescent="0.25">
      <c r="A197" s="1" t="s">
        <v>131</v>
      </c>
      <c r="B197" t="s">
        <v>76</v>
      </c>
      <c r="C197" t="s">
        <v>47</v>
      </c>
      <c r="D197" s="22" t="s">
        <v>85</v>
      </c>
      <c r="E197" s="2" t="s">
        <v>66</v>
      </c>
      <c r="F197" s="2"/>
      <c r="G197" s="27">
        <v>0</v>
      </c>
      <c r="H197" s="27">
        <v>0</v>
      </c>
      <c r="I197" s="27">
        <v>0</v>
      </c>
      <c r="J197" s="27">
        <v>0</v>
      </c>
      <c r="K197" s="27">
        <v>0</v>
      </c>
      <c r="L197" s="27">
        <v>0</v>
      </c>
      <c r="M197" s="27">
        <v>0</v>
      </c>
      <c r="N197" s="27">
        <v>0</v>
      </c>
      <c r="O197">
        <v>0</v>
      </c>
    </row>
    <row r="198" spans="1:15" x14ac:dyDescent="0.25">
      <c r="A198" s="1" t="s">
        <v>131</v>
      </c>
      <c r="B198" t="s">
        <v>76</v>
      </c>
      <c r="C198" t="s">
        <v>71</v>
      </c>
      <c r="D198" s="20" t="s">
        <v>86</v>
      </c>
      <c r="E198" s="2" t="s">
        <v>87</v>
      </c>
      <c r="F198" s="2"/>
    </row>
    <row r="199" spans="1:15" x14ac:dyDescent="0.25">
      <c r="A199" s="1" t="s">
        <v>131</v>
      </c>
      <c r="B199" t="s">
        <v>76</v>
      </c>
      <c r="C199" t="s">
        <v>71</v>
      </c>
      <c r="D199" s="20" t="s">
        <v>89</v>
      </c>
      <c r="E199" s="2" t="s">
        <v>90</v>
      </c>
      <c r="F199" s="2"/>
    </row>
    <row r="200" spans="1:15" x14ac:dyDescent="0.25">
      <c r="A200" s="1" t="s">
        <v>131</v>
      </c>
      <c r="B200" t="s">
        <v>91</v>
      </c>
      <c r="C200" t="s">
        <v>47</v>
      </c>
      <c r="D200" s="15" t="s">
        <v>92</v>
      </c>
      <c r="E200" s="2" t="s">
        <v>93</v>
      </c>
      <c r="F200" s="2"/>
      <c r="G200" s="31">
        <v>85</v>
      </c>
      <c r="H200" s="31">
        <v>85</v>
      </c>
      <c r="I200" s="31">
        <v>79</v>
      </c>
      <c r="J200" s="31">
        <v>79</v>
      </c>
      <c r="K200" s="31">
        <v>79</v>
      </c>
      <c r="L200" s="31">
        <v>67</v>
      </c>
      <c r="M200" s="31">
        <v>67</v>
      </c>
      <c r="N200" s="31">
        <v>67</v>
      </c>
      <c r="O200" s="31">
        <v>69</v>
      </c>
    </row>
    <row r="201" spans="1:15" x14ac:dyDescent="0.25">
      <c r="A201" s="1" t="s">
        <v>131</v>
      </c>
      <c r="B201" t="s">
        <v>91</v>
      </c>
      <c r="C201" t="s">
        <v>47</v>
      </c>
      <c r="D201" s="15" t="s">
        <v>94</v>
      </c>
      <c r="E201" s="2" t="s">
        <v>71</v>
      </c>
      <c r="F201" s="2"/>
      <c r="G201" s="31">
        <v>71</v>
      </c>
      <c r="H201" s="31">
        <v>71</v>
      </c>
      <c r="I201" s="31">
        <v>62</v>
      </c>
      <c r="J201" s="31">
        <v>62</v>
      </c>
      <c r="K201" s="31">
        <v>62</v>
      </c>
      <c r="L201" s="31">
        <v>50</v>
      </c>
      <c r="M201" s="31">
        <v>50</v>
      </c>
      <c r="N201" s="31">
        <v>50</v>
      </c>
      <c r="O201" s="31">
        <v>60</v>
      </c>
    </row>
    <row r="202" spans="1:15" x14ac:dyDescent="0.25">
      <c r="A202" s="1" t="s">
        <v>131</v>
      </c>
      <c r="B202" t="s">
        <v>91</v>
      </c>
      <c r="C202" t="s">
        <v>47</v>
      </c>
      <c r="D202" s="15" t="s">
        <v>95</v>
      </c>
      <c r="E202" s="2" t="s">
        <v>96</v>
      </c>
      <c r="F202" s="2"/>
      <c r="G202" s="31">
        <v>79</v>
      </c>
      <c r="H202" s="31">
        <v>79</v>
      </c>
      <c r="I202" s="31">
        <v>75</v>
      </c>
      <c r="J202" s="31">
        <v>75</v>
      </c>
      <c r="K202" s="31">
        <v>75</v>
      </c>
      <c r="L202" s="31">
        <v>67</v>
      </c>
      <c r="M202" s="31">
        <v>67</v>
      </c>
      <c r="N202" s="31">
        <v>67</v>
      </c>
      <c r="O202" s="31">
        <v>70</v>
      </c>
    </row>
    <row r="203" spans="1:15" x14ac:dyDescent="0.25">
      <c r="A203" s="1" t="s">
        <v>131</v>
      </c>
      <c r="B203" t="s">
        <v>91</v>
      </c>
      <c r="C203" t="s">
        <v>47</v>
      </c>
      <c r="D203" s="15" t="s">
        <v>97</v>
      </c>
      <c r="E203" s="2" t="s">
        <v>98</v>
      </c>
      <c r="F203" s="2"/>
      <c r="G203" s="31">
        <v>83</v>
      </c>
      <c r="H203" s="31">
        <v>83</v>
      </c>
      <c r="I203" s="31">
        <v>88</v>
      </c>
      <c r="J203" s="31">
        <v>88</v>
      </c>
      <c r="K203" s="31">
        <v>88</v>
      </c>
      <c r="L203" s="31">
        <v>92</v>
      </c>
      <c r="M203" s="31">
        <v>92</v>
      </c>
      <c r="N203" s="31">
        <v>92</v>
      </c>
      <c r="O203" s="31">
        <v>90</v>
      </c>
    </row>
    <row r="204" spans="1:15" x14ac:dyDescent="0.25">
      <c r="A204" s="1" t="s">
        <v>131</v>
      </c>
      <c r="B204" t="s">
        <v>91</v>
      </c>
      <c r="C204" t="s">
        <v>71</v>
      </c>
      <c r="D204" s="20" t="s">
        <v>99</v>
      </c>
      <c r="E204" s="2" t="s">
        <v>100</v>
      </c>
      <c r="F204" s="2"/>
    </row>
    <row r="205" spans="1:15" x14ac:dyDescent="0.25">
      <c r="A205" s="1" t="s">
        <v>131</v>
      </c>
      <c r="B205" t="s">
        <v>91</v>
      </c>
      <c r="C205" t="s">
        <v>71</v>
      </c>
      <c r="D205" s="25" t="s">
        <v>101</v>
      </c>
      <c r="E205" s="2" t="s">
        <v>71</v>
      </c>
      <c r="F205" s="2"/>
      <c r="G205" s="27">
        <v>0</v>
      </c>
      <c r="H205" s="27">
        <v>0</v>
      </c>
      <c r="I205" s="27">
        <v>0</v>
      </c>
      <c r="J205" s="27">
        <v>0</v>
      </c>
      <c r="K205" s="27">
        <v>0</v>
      </c>
      <c r="L205" s="27">
        <v>0</v>
      </c>
      <c r="M205" s="27">
        <v>0</v>
      </c>
      <c r="N205" s="27">
        <v>0</v>
      </c>
      <c r="O205">
        <v>0</v>
      </c>
    </row>
    <row r="206" spans="1:15" x14ac:dyDescent="0.25">
      <c r="A206" s="1" t="s">
        <v>131</v>
      </c>
      <c r="B206" t="s">
        <v>102</v>
      </c>
      <c r="C206" t="s">
        <v>47</v>
      </c>
      <c r="D206" s="22" t="s">
        <v>103</v>
      </c>
      <c r="E206" s="2" t="s">
        <v>66</v>
      </c>
      <c r="F206" s="2"/>
      <c r="G206" s="27">
        <v>35</v>
      </c>
      <c r="H206" s="27">
        <v>31</v>
      </c>
      <c r="I206" s="27">
        <v>36</v>
      </c>
      <c r="J206" s="27">
        <v>26</v>
      </c>
      <c r="K206" s="27">
        <v>17</v>
      </c>
      <c r="L206" s="27">
        <v>20</v>
      </c>
      <c r="M206" s="27">
        <v>21</v>
      </c>
      <c r="N206" s="27">
        <v>37</v>
      </c>
      <c r="O206">
        <v>23</v>
      </c>
    </row>
    <row r="207" spans="1:15" x14ac:dyDescent="0.25">
      <c r="A207" s="1" t="s">
        <v>131</v>
      </c>
      <c r="B207" t="s">
        <v>102</v>
      </c>
      <c r="C207" t="s">
        <v>47</v>
      </c>
      <c r="D207" s="22" t="s">
        <v>104</v>
      </c>
      <c r="E207" s="2" t="s">
        <v>66</v>
      </c>
      <c r="F207" s="2"/>
      <c r="G207" s="27">
        <v>3.5</v>
      </c>
      <c r="H207" s="27">
        <v>3.1</v>
      </c>
      <c r="I207" s="27">
        <v>3.6</v>
      </c>
      <c r="J207" s="27">
        <v>2.6</v>
      </c>
      <c r="K207" s="27">
        <v>1.7</v>
      </c>
      <c r="L207" s="27">
        <v>2</v>
      </c>
      <c r="M207" s="27">
        <v>2.1</v>
      </c>
      <c r="N207" s="27">
        <v>3.7</v>
      </c>
      <c r="O207">
        <v>2.2999999999999998</v>
      </c>
    </row>
    <row r="208" spans="1:15" x14ac:dyDescent="0.25">
      <c r="A208" s="1" t="s">
        <v>131</v>
      </c>
      <c r="B208" t="s">
        <v>102</v>
      </c>
      <c r="C208" t="s">
        <v>47</v>
      </c>
      <c r="D208" s="22" t="s">
        <v>105</v>
      </c>
      <c r="E208" s="2" t="s">
        <v>66</v>
      </c>
      <c r="F208" s="2"/>
      <c r="G208" s="27">
        <v>34</v>
      </c>
      <c r="H208" s="27">
        <v>33</v>
      </c>
      <c r="I208" s="27">
        <v>39</v>
      </c>
      <c r="J208" s="27">
        <v>30</v>
      </c>
      <c r="K208" s="27">
        <v>22</v>
      </c>
      <c r="L208" s="27">
        <v>21</v>
      </c>
      <c r="M208" s="27">
        <v>23</v>
      </c>
      <c r="N208" s="27">
        <v>43</v>
      </c>
      <c r="O208">
        <v>25</v>
      </c>
    </row>
    <row r="209" spans="1:78" x14ac:dyDescent="0.25">
      <c r="A209" s="1" t="s">
        <v>131</v>
      </c>
      <c r="B209" t="s">
        <v>102</v>
      </c>
      <c r="C209" t="s">
        <v>47</v>
      </c>
      <c r="D209" s="22" t="s">
        <v>106</v>
      </c>
      <c r="E209" s="2" t="s">
        <v>66</v>
      </c>
      <c r="F209" s="2"/>
      <c r="G209" s="27">
        <v>3.3</v>
      </c>
      <c r="H209" s="27">
        <v>3.3</v>
      </c>
      <c r="I209" s="27">
        <v>3.9</v>
      </c>
      <c r="J209" s="27">
        <v>3</v>
      </c>
      <c r="K209" s="27">
        <v>2.2000000000000002</v>
      </c>
      <c r="L209" s="27">
        <v>2.1</v>
      </c>
      <c r="M209" s="27">
        <v>2.2999999999999998</v>
      </c>
      <c r="N209" s="27">
        <v>4.3</v>
      </c>
      <c r="O209">
        <v>2.5</v>
      </c>
    </row>
    <row r="210" spans="1:78" x14ac:dyDescent="0.25">
      <c r="A210" s="1" t="s">
        <v>131</v>
      </c>
      <c r="B210" t="s">
        <v>102</v>
      </c>
      <c r="C210" t="s">
        <v>47</v>
      </c>
      <c r="D210" s="22" t="s">
        <v>107</v>
      </c>
      <c r="E210" s="2" t="s">
        <v>66</v>
      </c>
      <c r="F210" s="2"/>
      <c r="G210" s="27">
        <v>4</v>
      </c>
      <c r="H210" s="27">
        <v>7</v>
      </c>
      <c r="I210" s="27">
        <v>4</v>
      </c>
      <c r="J210" s="27">
        <v>4</v>
      </c>
      <c r="K210" s="27">
        <v>5</v>
      </c>
      <c r="L210" s="27">
        <v>12</v>
      </c>
      <c r="M210" s="27">
        <v>10</v>
      </c>
      <c r="N210" s="27">
        <v>17</v>
      </c>
      <c r="O210">
        <v>21</v>
      </c>
    </row>
    <row r="211" spans="1:78" x14ac:dyDescent="0.25">
      <c r="A211" s="1" t="s">
        <v>131</v>
      </c>
      <c r="B211" t="s">
        <v>102</v>
      </c>
      <c r="C211" t="s">
        <v>47</v>
      </c>
      <c r="D211" s="22" t="s">
        <v>108</v>
      </c>
      <c r="E211" s="2" t="s">
        <v>66</v>
      </c>
      <c r="F211" s="2"/>
      <c r="G211" s="27">
        <v>0.4</v>
      </c>
      <c r="H211" s="27">
        <v>0.7</v>
      </c>
      <c r="I211" s="27">
        <v>0.4</v>
      </c>
      <c r="J211" s="27">
        <v>0.4</v>
      </c>
      <c r="K211" s="27">
        <v>0.5</v>
      </c>
      <c r="L211" s="27">
        <v>1.2</v>
      </c>
      <c r="M211" s="27">
        <v>1</v>
      </c>
      <c r="N211" s="27">
        <v>1.7</v>
      </c>
      <c r="O211">
        <v>2.1</v>
      </c>
    </row>
    <row r="212" spans="1:78" ht="68.25" x14ac:dyDescent="0.25">
      <c r="A212" s="1" t="s">
        <v>131</v>
      </c>
      <c r="B212" t="s">
        <v>66</v>
      </c>
      <c r="C212" t="s">
        <v>66</v>
      </c>
      <c r="D212" s="22" t="s">
        <v>112</v>
      </c>
      <c r="E212" s="27" t="s">
        <v>66</v>
      </c>
      <c r="F212" s="2"/>
      <c r="G212" s="43"/>
      <c r="H212" s="43"/>
      <c r="I212" s="43"/>
      <c r="J212" s="43"/>
      <c r="K212" s="43"/>
      <c r="L212" s="43"/>
      <c r="M212" s="43"/>
      <c r="N212" s="43" t="s">
        <v>132</v>
      </c>
      <c r="O212" s="101" t="s">
        <v>133</v>
      </c>
      <c r="P212" s="43"/>
      <c r="Q212" s="43"/>
      <c r="R212" s="43"/>
      <c r="S212" s="43"/>
      <c r="T212" s="43"/>
      <c r="U212" s="43"/>
      <c r="V212" s="43"/>
      <c r="W212" s="43"/>
      <c r="X212" s="43"/>
      <c r="Y212" s="43"/>
      <c r="Z212" s="43"/>
      <c r="AA212" s="43"/>
      <c r="AB212" s="43"/>
      <c r="AC212" s="43"/>
      <c r="AD212" s="43"/>
      <c r="AE212" s="43"/>
      <c r="AF212" s="43"/>
      <c r="AG212" s="43"/>
      <c r="AH212" s="43"/>
      <c r="AI212" s="43"/>
      <c r="AJ212" s="43"/>
      <c r="AK212" s="43"/>
      <c r="AL212" s="43"/>
      <c r="AM212" s="43"/>
      <c r="AN212" s="43"/>
      <c r="AO212" s="43"/>
      <c r="AP212" s="43"/>
      <c r="AQ212" s="43"/>
      <c r="AR212" s="43"/>
      <c r="AS212" s="43"/>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78" ht="68.25" x14ac:dyDescent="0.25">
      <c r="A213" s="1" t="s">
        <v>131</v>
      </c>
      <c r="B213" t="s">
        <v>66</v>
      </c>
      <c r="C213" t="s">
        <v>66</v>
      </c>
      <c r="D213" s="22" t="s">
        <v>115</v>
      </c>
      <c r="E213" s="27" t="s">
        <v>66</v>
      </c>
      <c r="F213" s="2"/>
      <c r="G213" s="43"/>
      <c r="H213" s="43"/>
      <c r="I213" s="43"/>
      <c r="J213" s="43"/>
      <c r="K213" s="43"/>
      <c r="L213" s="43"/>
      <c r="M213" s="43"/>
      <c r="N213" s="43" t="s">
        <v>134</v>
      </c>
      <c r="O213" s="96" t="s">
        <v>135</v>
      </c>
      <c r="P213" s="43"/>
      <c r="Q213" s="43"/>
      <c r="R213" s="43"/>
      <c r="S213" s="43"/>
      <c r="T213" s="43"/>
      <c r="U213" s="43"/>
      <c r="V213" s="43"/>
      <c r="W213" s="43"/>
      <c r="X213" s="43"/>
      <c r="Y213" s="43"/>
      <c r="Z213" s="43"/>
      <c r="AA213" s="43"/>
      <c r="AB213" s="43"/>
      <c r="AC213" s="43"/>
      <c r="AD213" s="43"/>
      <c r="AE213" s="43"/>
      <c r="AF213" s="43"/>
      <c r="AG213" s="43"/>
      <c r="AH213" s="43"/>
      <c r="AI213" s="43"/>
      <c r="AJ213" s="43"/>
      <c r="AK213" s="43"/>
      <c r="AL213" s="43"/>
      <c r="AM213" s="43"/>
      <c r="AN213" s="43"/>
      <c r="AO213" s="43"/>
      <c r="AP213" s="43"/>
      <c r="AQ213" s="43"/>
      <c r="AR213" s="43"/>
      <c r="AS213" s="43"/>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78" s="17" customFormat="1" ht="34.5" x14ac:dyDescent="0.25">
      <c r="A214" s="81" t="s">
        <v>131</v>
      </c>
      <c r="B214" s="17" t="s">
        <v>66</v>
      </c>
      <c r="C214" s="17" t="s">
        <v>66</v>
      </c>
      <c r="D214" s="24" t="s">
        <v>118</v>
      </c>
      <c r="E214" s="18" t="s">
        <v>66</v>
      </c>
      <c r="F214" s="18"/>
      <c r="G214" s="91"/>
      <c r="H214" s="91"/>
      <c r="I214" s="91"/>
      <c r="J214" s="91"/>
      <c r="K214" s="91"/>
      <c r="L214" s="91"/>
      <c r="M214" s="91" t="s">
        <v>136</v>
      </c>
      <c r="N214" s="91"/>
      <c r="O214" s="4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2"/>
      <c r="AU214" s="92"/>
      <c r="AV214" s="92"/>
      <c r="AW214" s="92"/>
      <c r="AX214" s="92"/>
      <c r="AY214" s="92"/>
      <c r="AZ214" s="92"/>
      <c r="BA214" s="92"/>
      <c r="BB214" s="92"/>
      <c r="BC214" s="92"/>
      <c r="BD214" s="92"/>
      <c r="BE214" s="92"/>
      <c r="BF214" s="92"/>
      <c r="BG214" s="92"/>
      <c r="BH214" s="92"/>
      <c r="BI214" s="92"/>
      <c r="BJ214" s="92"/>
      <c r="BK214" s="92"/>
      <c r="BL214" s="92"/>
      <c r="BM214" s="92"/>
      <c r="BN214" s="92"/>
      <c r="BO214" s="92"/>
      <c r="BP214" s="92"/>
      <c r="BQ214" s="92"/>
      <c r="BR214" s="92"/>
      <c r="BS214" s="92"/>
      <c r="BT214" s="92"/>
      <c r="BU214" s="92"/>
      <c r="BV214" s="92"/>
      <c r="BW214" s="92"/>
      <c r="BX214" s="92"/>
      <c r="BY214" s="92"/>
      <c r="BZ214" s="92"/>
    </row>
    <row r="215" spans="1:78" x14ac:dyDescent="0.25">
      <c r="M215" s="57"/>
    </row>
    <row r="216" spans="1:78" x14ac:dyDescent="0.25">
      <c r="A216" s="1" t="s">
        <v>137</v>
      </c>
      <c r="B216" t="s">
        <v>46</v>
      </c>
      <c r="C216" t="s">
        <v>47</v>
      </c>
      <c r="D216" s="22" t="s">
        <v>48</v>
      </c>
      <c r="E216" s="2" t="s">
        <v>49</v>
      </c>
      <c r="F216" s="2"/>
      <c r="G216" s="32">
        <v>0.372</v>
      </c>
      <c r="H216" s="32">
        <v>0.48</v>
      </c>
      <c r="I216" s="32">
        <v>0.46400000000000002</v>
      </c>
      <c r="J216" s="32">
        <v>0.78100000000000003</v>
      </c>
      <c r="K216" s="32">
        <v>0.67600000000000005</v>
      </c>
      <c r="L216" s="32">
        <v>0.40300000000000002</v>
      </c>
      <c r="M216" s="32">
        <v>0.78500000000000003</v>
      </c>
      <c r="N216" s="32">
        <v>0.78400000000000003</v>
      </c>
      <c r="O216" s="32">
        <v>0.76400000000000001</v>
      </c>
    </row>
    <row r="217" spans="1:78" x14ac:dyDescent="0.25">
      <c r="A217" s="1" t="s">
        <v>137</v>
      </c>
      <c r="B217" t="s">
        <v>46</v>
      </c>
      <c r="C217" t="s">
        <v>47</v>
      </c>
      <c r="D217" s="22" t="s">
        <v>50</v>
      </c>
      <c r="E217" s="2" t="s">
        <v>51</v>
      </c>
      <c r="F217" s="2"/>
      <c r="G217" s="27">
        <v>12.55</v>
      </c>
      <c r="H217" s="27">
        <v>11.81</v>
      </c>
      <c r="I217" s="27">
        <v>7.13</v>
      </c>
      <c r="J217" s="27">
        <v>6.91</v>
      </c>
      <c r="K217" s="27">
        <v>7.78</v>
      </c>
      <c r="L217" s="27">
        <v>7.76</v>
      </c>
      <c r="M217" s="27">
        <v>5.21</v>
      </c>
      <c r="N217" s="27">
        <v>9.39</v>
      </c>
      <c r="O217" s="27">
        <v>8.0299999999999994</v>
      </c>
    </row>
    <row r="218" spans="1:78" x14ac:dyDescent="0.25">
      <c r="A218" s="1" t="s">
        <v>137</v>
      </c>
      <c r="B218" t="s">
        <v>46</v>
      </c>
      <c r="C218" t="s">
        <v>47</v>
      </c>
      <c r="D218" s="22" t="s">
        <v>52</v>
      </c>
      <c r="E218" s="2" t="s">
        <v>53</v>
      </c>
      <c r="F218" s="2"/>
      <c r="G218" s="33">
        <v>0.48</v>
      </c>
      <c r="H218" s="33">
        <v>0.43</v>
      </c>
      <c r="I218" s="33">
        <v>0.28000000000000003</v>
      </c>
      <c r="J218" s="33">
        <v>0.16</v>
      </c>
      <c r="K218" s="33">
        <v>0.45</v>
      </c>
      <c r="L218" s="33">
        <v>0.41</v>
      </c>
      <c r="M218" s="33">
        <v>0.35</v>
      </c>
      <c r="N218" s="33">
        <v>0.08</v>
      </c>
      <c r="O218" s="46">
        <v>8.0000000000000002E-3</v>
      </c>
    </row>
    <row r="219" spans="1:78" x14ac:dyDescent="0.25">
      <c r="A219" s="1" t="s">
        <v>137</v>
      </c>
      <c r="B219" t="s">
        <v>46</v>
      </c>
      <c r="C219" t="s">
        <v>47</v>
      </c>
      <c r="D219" s="22" t="s">
        <v>54</v>
      </c>
      <c r="E219" s="2" t="s">
        <v>55</v>
      </c>
      <c r="F219" s="2"/>
      <c r="G219" s="27">
        <v>0</v>
      </c>
      <c r="H219" s="27">
        <v>0</v>
      </c>
      <c r="I219" s="27">
        <v>0</v>
      </c>
      <c r="J219" s="27">
        <v>0</v>
      </c>
      <c r="K219" s="27">
        <v>0</v>
      </c>
      <c r="L219" s="27">
        <v>0</v>
      </c>
      <c r="M219" s="27">
        <v>0</v>
      </c>
      <c r="N219" s="27">
        <v>0</v>
      </c>
      <c r="O219" s="27">
        <v>0</v>
      </c>
    </row>
    <row r="220" spans="1:78" x14ac:dyDescent="0.25">
      <c r="A220" s="1" t="s">
        <v>137</v>
      </c>
      <c r="B220" t="s">
        <v>56</v>
      </c>
      <c r="C220" t="s">
        <v>57</v>
      </c>
      <c r="D220" s="22" t="s">
        <v>58</v>
      </c>
      <c r="E220" s="13" t="s">
        <v>59</v>
      </c>
      <c r="F220" s="13"/>
      <c r="G220" s="27">
        <v>0</v>
      </c>
      <c r="H220" s="27">
        <v>0</v>
      </c>
      <c r="I220" s="27">
        <v>0</v>
      </c>
      <c r="J220" s="27">
        <v>0</v>
      </c>
      <c r="K220" s="27">
        <v>0</v>
      </c>
      <c r="L220" s="27">
        <v>0</v>
      </c>
      <c r="M220" s="27">
        <v>0</v>
      </c>
      <c r="N220" s="27">
        <v>0</v>
      </c>
      <c r="O220" s="27">
        <v>0</v>
      </c>
    </row>
    <row r="221" spans="1:78" x14ac:dyDescent="0.25">
      <c r="A221" s="1" t="s">
        <v>137</v>
      </c>
      <c r="B221" t="s">
        <v>56</v>
      </c>
      <c r="C221" t="s">
        <v>57</v>
      </c>
      <c r="D221" s="23" t="s">
        <v>60</v>
      </c>
      <c r="E221" s="13" t="s">
        <v>61</v>
      </c>
      <c r="F221" s="13"/>
      <c r="G221" s="27">
        <v>0</v>
      </c>
      <c r="H221" s="27">
        <v>0</v>
      </c>
      <c r="I221" s="27">
        <v>0</v>
      </c>
      <c r="J221" s="27">
        <v>0</v>
      </c>
      <c r="K221" s="27">
        <v>0</v>
      </c>
      <c r="L221" s="27">
        <v>0</v>
      </c>
      <c r="M221" s="27">
        <v>0</v>
      </c>
      <c r="N221" s="27">
        <v>0</v>
      </c>
      <c r="O221" s="27">
        <v>0</v>
      </c>
    </row>
    <row r="222" spans="1:78" x14ac:dyDescent="0.25">
      <c r="A222" s="1" t="s">
        <v>137</v>
      </c>
      <c r="B222" t="s">
        <v>56</v>
      </c>
      <c r="C222" t="s">
        <v>57</v>
      </c>
      <c r="D222" s="23" t="s">
        <v>62</v>
      </c>
      <c r="E222" s="13" t="s">
        <v>63</v>
      </c>
      <c r="F222" s="13"/>
      <c r="G222" s="27">
        <v>0</v>
      </c>
      <c r="H222" s="27">
        <v>0</v>
      </c>
      <c r="I222" s="27">
        <v>0</v>
      </c>
      <c r="J222" s="27">
        <v>0</v>
      </c>
      <c r="K222" s="27">
        <v>0</v>
      </c>
      <c r="L222" s="27">
        <v>0</v>
      </c>
      <c r="M222" s="27">
        <v>0</v>
      </c>
      <c r="N222" s="27">
        <v>0</v>
      </c>
      <c r="O222" s="27">
        <v>0</v>
      </c>
    </row>
    <row r="223" spans="1:78" x14ac:dyDescent="0.25">
      <c r="A223" s="1" t="s">
        <v>137</v>
      </c>
      <c r="B223" t="s">
        <v>56</v>
      </c>
      <c r="C223" t="s">
        <v>57</v>
      </c>
      <c r="D223" s="22" t="s">
        <v>64</v>
      </c>
      <c r="E223" s="2" t="s">
        <v>65</v>
      </c>
      <c r="F223" s="2"/>
      <c r="G223" s="27">
        <v>0</v>
      </c>
      <c r="H223" s="27">
        <v>0</v>
      </c>
      <c r="I223" s="27">
        <v>0</v>
      </c>
      <c r="J223" s="27">
        <v>0</v>
      </c>
      <c r="K223" s="27">
        <v>0</v>
      </c>
      <c r="L223" s="27">
        <v>0</v>
      </c>
      <c r="M223" s="27">
        <v>0</v>
      </c>
      <c r="N223" s="27">
        <v>0</v>
      </c>
      <c r="O223" s="27">
        <v>0</v>
      </c>
    </row>
    <row r="224" spans="1:78" x14ac:dyDescent="0.25">
      <c r="A224" s="1" t="s">
        <v>137</v>
      </c>
      <c r="B224" t="s">
        <v>9</v>
      </c>
      <c r="C224" t="s">
        <v>67</v>
      </c>
      <c r="D224" s="22" t="s">
        <v>68</v>
      </c>
      <c r="E224" s="2" t="s">
        <v>69</v>
      </c>
      <c r="F224" s="2"/>
      <c r="G224" s="27">
        <v>4</v>
      </c>
      <c r="H224" s="27">
        <v>10</v>
      </c>
      <c r="I224" s="27">
        <v>8</v>
      </c>
      <c r="J224" s="27">
        <v>11</v>
      </c>
      <c r="K224" s="27">
        <v>4</v>
      </c>
      <c r="L224" s="27">
        <v>0</v>
      </c>
      <c r="M224" s="27">
        <v>10</v>
      </c>
      <c r="N224" s="27">
        <v>1</v>
      </c>
      <c r="O224" s="27">
        <v>2</v>
      </c>
    </row>
    <row r="225" spans="1:15" x14ac:dyDescent="0.25">
      <c r="A225" s="1" t="s">
        <v>137</v>
      </c>
      <c r="B225" t="s">
        <v>9</v>
      </c>
      <c r="C225" t="s">
        <v>67</v>
      </c>
      <c r="D225" s="22" t="s">
        <v>70</v>
      </c>
      <c r="E225" s="2" t="s">
        <v>69</v>
      </c>
      <c r="F225" s="2"/>
      <c r="G225" s="27">
        <v>8</v>
      </c>
      <c r="H225" s="27">
        <v>10</v>
      </c>
      <c r="I225" s="27">
        <v>8</v>
      </c>
      <c r="J225" s="27">
        <v>1</v>
      </c>
      <c r="K225" s="27">
        <v>1</v>
      </c>
      <c r="L225" s="27">
        <v>5</v>
      </c>
      <c r="M225" s="27">
        <v>14</v>
      </c>
      <c r="N225" s="27">
        <v>4</v>
      </c>
      <c r="O225" s="27">
        <v>10</v>
      </c>
    </row>
    <row r="226" spans="1:15" x14ac:dyDescent="0.25">
      <c r="A226" s="1" t="s">
        <v>137</v>
      </c>
      <c r="B226" t="s">
        <v>9</v>
      </c>
      <c r="C226" t="s">
        <v>71</v>
      </c>
      <c r="D226" s="20" t="s">
        <v>10</v>
      </c>
      <c r="E226" s="2" t="s">
        <v>11</v>
      </c>
      <c r="F226" s="2"/>
      <c r="O226" s="27"/>
    </row>
    <row r="227" spans="1:15" x14ac:dyDescent="0.25">
      <c r="A227" s="1" t="s">
        <v>137</v>
      </c>
      <c r="B227" t="s">
        <v>9</v>
      </c>
      <c r="C227" t="s">
        <v>71</v>
      </c>
      <c r="D227" s="20" t="s">
        <v>72</v>
      </c>
      <c r="E227" s="2" t="s">
        <v>73</v>
      </c>
      <c r="F227" s="2"/>
      <c r="O227" s="27"/>
    </row>
    <row r="228" spans="1:15" x14ac:dyDescent="0.25">
      <c r="A228" s="1" t="s">
        <v>137</v>
      </c>
      <c r="B228" t="s">
        <v>9</v>
      </c>
      <c r="C228" t="s">
        <v>71</v>
      </c>
      <c r="D228" s="20" t="s">
        <v>74</v>
      </c>
      <c r="E228" s="2" t="s">
        <v>71</v>
      </c>
      <c r="F228" s="2"/>
      <c r="O228" s="27"/>
    </row>
    <row r="229" spans="1:15" x14ac:dyDescent="0.25">
      <c r="A229" s="1" t="s">
        <v>137</v>
      </c>
      <c r="B229" t="s">
        <v>9</v>
      </c>
      <c r="C229" t="s">
        <v>71</v>
      </c>
      <c r="D229" s="20" t="s">
        <v>75</v>
      </c>
      <c r="E229" s="2" t="s">
        <v>71</v>
      </c>
      <c r="F229" s="2"/>
      <c r="O229" s="27"/>
    </row>
    <row r="230" spans="1:15" x14ac:dyDescent="0.25">
      <c r="A230" s="1" t="s">
        <v>137</v>
      </c>
      <c r="B230" t="s">
        <v>76</v>
      </c>
      <c r="C230" t="s">
        <v>67</v>
      </c>
      <c r="D230" s="22" t="s">
        <v>77</v>
      </c>
      <c r="E230" s="2" t="s">
        <v>78</v>
      </c>
      <c r="F230" s="2"/>
      <c r="G230" s="34">
        <v>0</v>
      </c>
      <c r="H230" s="34">
        <v>1</v>
      </c>
      <c r="I230" s="34">
        <v>1</v>
      </c>
      <c r="J230" s="34">
        <v>0</v>
      </c>
      <c r="K230" s="34">
        <v>0.5</v>
      </c>
      <c r="L230" s="34">
        <v>1</v>
      </c>
      <c r="M230" s="34">
        <v>0</v>
      </c>
      <c r="N230" s="34">
        <v>1</v>
      </c>
      <c r="O230" s="34">
        <v>1</v>
      </c>
    </row>
    <row r="231" spans="1:15" x14ac:dyDescent="0.25">
      <c r="A231" s="1" t="s">
        <v>137</v>
      </c>
      <c r="B231" t="s">
        <v>76</v>
      </c>
      <c r="C231" t="s">
        <v>47</v>
      </c>
      <c r="D231" s="22" t="s">
        <v>79</v>
      </c>
      <c r="E231" s="2" t="s">
        <v>80</v>
      </c>
      <c r="F231" s="2"/>
      <c r="G231" s="34">
        <v>0.25</v>
      </c>
      <c r="H231" s="34">
        <v>0.06</v>
      </c>
      <c r="I231" s="34">
        <v>0.13</v>
      </c>
      <c r="J231" s="33">
        <v>0.68</v>
      </c>
      <c r="K231" s="33">
        <v>0.78</v>
      </c>
      <c r="L231" s="33">
        <v>0.45</v>
      </c>
      <c r="M231" s="33">
        <v>0.3</v>
      </c>
      <c r="N231" s="33">
        <v>0.67</v>
      </c>
      <c r="O231" s="33">
        <v>0.8</v>
      </c>
    </row>
    <row r="232" spans="1:15" x14ac:dyDescent="0.25">
      <c r="A232" s="1" t="s">
        <v>137</v>
      </c>
      <c r="B232" t="s">
        <v>76</v>
      </c>
      <c r="C232" t="s">
        <v>47</v>
      </c>
      <c r="D232" s="22" t="s">
        <v>81</v>
      </c>
      <c r="E232" s="2" t="s">
        <v>82</v>
      </c>
      <c r="F232" s="2"/>
      <c r="G232" s="34">
        <v>0.41</v>
      </c>
      <c r="H232" s="34">
        <v>0.6</v>
      </c>
      <c r="I232" s="34">
        <v>0.59</v>
      </c>
      <c r="J232" s="33">
        <v>0.27</v>
      </c>
      <c r="K232" s="33">
        <v>0.16</v>
      </c>
      <c r="L232" s="33">
        <v>0.33</v>
      </c>
      <c r="M232" s="33">
        <v>0.24</v>
      </c>
      <c r="N232" s="33">
        <v>0.16</v>
      </c>
      <c r="O232" s="33">
        <v>0.14000000000000001</v>
      </c>
    </row>
    <row r="233" spans="1:15" x14ac:dyDescent="0.25">
      <c r="A233" s="1" t="s">
        <v>137</v>
      </c>
      <c r="B233" t="s">
        <v>76</v>
      </c>
      <c r="C233" t="s">
        <v>47</v>
      </c>
      <c r="D233" s="22" t="s">
        <v>83</v>
      </c>
      <c r="E233" s="2" t="s">
        <v>84</v>
      </c>
      <c r="F233" s="2"/>
      <c r="G233" s="34">
        <v>0.34</v>
      </c>
      <c r="H233" s="34">
        <v>0.34</v>
      </c>
      <c r="I233" s="34">
        <v>0.28000000000000003</v>
      </c>
      <c r="J233" s="33">
        <v>0.05</v>
      </c>
      <c r="K233" s="33">
        <v>0.06</v>
      </c>
      <c r="L233" s="33">
        <v>0.22</v>
      </c>
      <c r="M233" s="33">
        <v>0.46</v>
      </c>
      <c r="N233" s="33">
        <v>0.17</v>
      </c>
      <c r="O233" s="33">
        <v>0.06</v>
      </c>
    </row>
    <row r="234" spans="1:15" x14ac:dyDescent="0.25">
      <c r="A234" s="1" t="s">
        <v>137</v>
      </c>
      <c r="B234" t="s">
        <v>76</v>
      </c>
      <c r="C234" t="s">
        <v>47</v>
      </c>
      <c r="D234" s="22" t="s">
        <v>85</v>
      </c>
      <c r="E234" s="2" t="s">
        <v>66</v>
      </c>
      <c r="F234" s="2"/>
      <c r="G234" s="34">
        <v>0</v>
      </c>
      <c r="H234" s="34">
        <v>0</v>
      </c>
      <c r="I234" s="34">
        <v>0</v>
      </c>
      <c r="J234" s="34">
        <v>0</v>
      </c>
      <c r="K234" s="34">
        <v>0</v>
      </c>
      <c r="L234" s="34">
        <v>0</v>
      </c>
      <c r="M234" s="34">
        <v>0</v>
      </c>
      <c r="N234" s="34">
        <v>0</v>
      </c>
      <c r="O234" s="34">
        <v>0</v>
      </c>
    </row>
    <row r="235" spans="1:15" x14ac:dyDescent="0.25">
      <c r="A235" s="1" t="s">
        <v>137</v>
      </c>
      <c r="B235" t="s">
        <v>76</v>
      </c>
      <c r="C235" t="s">
        <v>71</v>
      </c>
      <c r="D235" s="20" t="s">
        <v>86</v>
      </c>
      <c r="E235" s="2" t="s">
        <v>87</v>
      </c>
      <c r="F235" s="2"/>
      <c r="O235" s="27"/>
    </row>
    <row r="236" spans="1:15" x14ac:dyDescent="0.25">
      <c r="A236" s="1" t="s">
        <v>137</v>
      </c>
      <c r="B236" t="s">
        <v>76</v>
      </c>
      <c r="C236" t="s">
        <v>71</v>
      </c>
      <c r="D236" s="20" t="s">
        <v>89</v>
      </c>
      <c r="E236" s="2" t="s">
        <v>90</v>
      </c>
      <c r="F236" s="2"/>
      <c r="O236" s="27"/>
    </row>
    <row r="237" spans="1:15" x14ac:dyDescent="0.25">
      <c r="A237" s="1" t="s">
        <v>137</v>
      </c>
      <c r="B237" t="s">
        <v>91</v>
      </c>
      <c r="C237" t="s">
        <v>47</v>
      </c>
      <c r="D237" s="15" t="s">
        <v>92</v>
      </c>
      <c r="E237" s="2" t="s">
        <v>93</v>
      </c>
      <c r="F237" s="2"/>
      <c r="G237" s="31">
        <v>86</v>
      </c>
      <c r="H237" s="31">
        <v>86</v>
      </c>
      <c r="I237" s="31">
        <v>86</v>
      </c>
      <c r="J237" s="31">
        <v>76</v>
      </c>
      <c r="K237" s="31">
        <v>76</v>
      </c>
      <c r="L237" s="31">
        <v>76</v>
      </c>
      <c r="M237" s="31">
        <v>76</v>
      </c>
      <c r="N237" s="31">
        <v>76</v>
      </c>
      <c r="O237" s="31">
        <v>76</v>
      </c>
    </row>
    <row r="238" spans="1:15" x14ac:dyDescent="0.25">
      <c r="A238" s="1" t="s">
        <v>137</v>
      </c>
      <c r="B238" t="s">
        <v>91</v>
      </c>
      <c r="C238" t="s">
        <v>47</v>
      </c>
      <c r="D238" s="15" t="s">
        <v>94</v>
      </c>
      <c r="E238" s="2" t="s">
        <v>71</v>
      </c>
      <c r="F238" s="2"/>
      <c r="G238" s="31">
        <v>72</v>
      </c>
      <c r="H238" s="31">
        <v>72</v>
      </c>
      <c r="I238" s="31">
        <v>72</v>
      </c>
      <c r="J238" s="31">
        <v>70</v>
      </c>
      <c r="K238" s="31">
        <v>70</v>
      </c>
      <c r="L238" s="31">
        <v>70</v>
      </c>
      <c r="M238" s="31">
        <v>70</v>
      </c>
      <c r="N238" s="31">
        <v>70</v>
      </c>
      <c r="O238" s="31">
        <v>70</v>
      </c>
    </row>
    <row r="239" spans="1:15" x14ac:dyDescent="0.25">
      <c r="A239" s="1" t="s">
        <v>137</v>
      </c>
      <c r="B239" t="s">
        <v>91</v>
      </c>
      <c r="C239" t="s">
        <v>47</v>
      </c>
      <c r="D239" s="15" t="s">
        <v>95</v>
      </c>
      <c r="E239" s="2" t="s">
        <v>96</v>
      </c>
      <c r="F239" s="2"/>
      <c r="G239" s="31">
        <v>72</v>
      </c>
      <c r="H239" s="31">
        <v>72</v>
      </c>
      <c r="I239" s="31">
        <v>72</v>
      </c>
      <c r="J239" s="31">
        <v>75</v>
      </c>
      <c r="K239" s="31">
        <v>75</v>
      </c>
      <c r="L239" s="31">
        <v>75</v>
      </c>
      <c r="M239" s="31">
        <v>75</v>
      </c>
      <c r="N239" s="31">
        <v>75</v>
      </c>
      <c r="O239" s="31">
        <v>75</v>
      </c>
    </row>
    <row r="240" spans="1:15" x14ac:dyDescent="0.25">
      <c r="A240" s="1" t="s">
        <v>137</v>
      </c>
      <c r="B240" t="s">
        <v>91</v>
      </c>
      <c r="C240" t="s">
        <v>47</v>
      </c>
      <c r="D240" s="15" t="s">
        <v>97</v>
      </c>
      <c r="E240" s="2" t="s">
        <v>98</v>
      </c>
      <c r="F240" s="2"/>
      <c r="G240" s="31">
        <v>62</v>
      </c>
      <c r="H240" s="31">
        <v>62</v>
      </c>
      <c r="I240" s="31">
        <v>62</v>
      </c>
      <c r="J240" s="31">
        <v>57</v>
      </c>
      <c r="K240" s="31">
        <v>57</v>
      </c>
      <c r="L240" s="31">
        <v>57</v>
      </c>
      <c r="M240" s="31">
        <v>57</v>
      </c>
      <c r="N240" s="31">
        <v>57</v>
      </c>
      <c r="O240" s="31">
        <v>57</v>
      </c>
    </row>
    <row r="241" spans="1:73" x14ac:dyDescent="0.25">
      <c r="A241" s="1" t="s">
        <v>137</v>
      </c>
      <c r="B241" t="s">
        <v>91</v>
      </c>
      <c r="C241" t="s">
        <v>71</v>
      </c>
      <c r="D241" s="20" t="s">
        <v>99</v>
      </c>
      <c r="E241" s="2" t="s">
        <v>100</v>
      </c>
      <c r="F241" s="2"/>
      <c r="O241" s="27"/>
    </row>
    <row r="242" spans="1:73" x14ac:dyDescent="0.25">
      <c r="A242" s="1" t="s">
        <v>137</v>
      </c>
      <c r="B242" t="s">
        <v>91</v>
      </c>
      <c r="C242" t="s">
        <v>71</v>
      </c>
      <c r="D242" s="25" t="s">
        <v>101</v>
      </c>
      <c r="E242" s="2" t="s">
        <v>71</v>
      </c>
      <c r="F242" s="2"/>
      <c r="G242" s="27">
        <v>0</v>
      </c>
      <c r="H242" s="27">
        <v>0</v>
      </c>
      <c r="I242" s="27">
        <v>0</v>
      </c>
      <c r="J242" s="27">
        <v>0</v>
      </c>
      <c r="K242" s="27">
        <v>0</v>
      </c>
      <c r="L242" s="27">
        <v>0</v>
      </c>
      <c r="M242" s="27">
        <v>0</v>
      </c>
      <c r="N242" s="27">
        <v>0</v>
      </c>
      <c r="O242" s="27">
        <v>0</v>
      </c>
    </row>
    <row r="243" spans="1:73" x14ac:dyDescent="0.25">
      <c r="A243" s="1" t="s">
        <v>137</v>
      </c>
      <c r="B243" t="s">
        <v>102</v>
      </c>
      <c r="C243" t="s">
        <v>47</v>
      </c>
      <c r="D243" s="22" t="s">
        <v>103</v>
      </c>
      <c r="E243" s="2" t="s">
        <v>66</v>
      </c>
      <c r="F243" s="2"/>
      <c r="G243" s="27">
        <v>16</v>
      </c>
      <c r="H243" s="27">
        <v>16</v>
      </c>
      <c r="I243" s="27">
        <v>18.5</v>
      </c>
      <c r="J243" s="27">
        <v>22</v>
      </c>
      <c r="K243" s="27">
        <v>20</v>
      </c>
      <c r="L243" s="27">
        <v>10.5</v>
      </c>
      <c r="M243" s="27">
        <v>25</v>
      </c>
      <c r="N243" s="27">
        <v>20</v>
      </c>
      <c r="O243" s="27">
        <v>20</v>
      </c>
    </row>
    <row r="244" spans="1:73" x14ac:dyDescent="0.25">
      <c r="A244" s="1" t="s">
        <v>137</v>
      </c>
      <c r="B244" t="s">
        <v>102</v>
      </c>
      <c r="C244" t="s">
        <v>47</v>
      </c>
      <c r="D244" s="22" t="s">
        <v>104</v>
      </c>
      <c r="E244" s="2" t="s">
        <v>66</v>
      </c>
      <c r="F244" s="2"/>
      <c r="G244" s="27">
        <v>2.0699999999999998</v>
      </c>
      <c r="H244" s="27">
        <v>2.94</v>
      </c>
      <c r="I244" s="27">
        <v>11.09</v>
      </c>
      <c r="J244" s="27">
        <v>2.4300000000000002</v>
      </c>
      <c r="K244" s="27">
        <v>1.97</v>
      </c>
      <c r="L244" s="27">
        <v>5.75</v>
      </c>
      <c r="M244" s="27">
        <v>2.91</v>
      </c>
      <c r="N244" s="27">
        <v>2.13</v>
      </c>
      <c r="O244" s="27">
        <v>2.4</v>
      </c>
    </row>
    <row r="245" spans="1:73" x14ac:dyDescent="0.25">
      <c r="A245" s="1" t="s">
        <v>137</v>
      </c>
      <c r="B245" t="s">
        <v>102</v>
      </c>
      <c r="C245" t="s">
        <v>47</v>
      </c>
      <c r="D245" s="22" t="s">
        <v>105</v>
      </c>
      <c r="E245" s="2" t="s">
        <v>66</v>
      </c>
      <c r="F245" s="2"/>
      <c r="G245" s="27">
        <v>18</v>
      </c>
      <c r="H245" s="27">
        <v>17</v>
      </c>
      <c r="I245" s="27">
        <v>17.5</v>
      </c>
      <c r="J245" s="27">
        <v>24.5</v>
      </c>
      <c r="K245" s="27">
        <v>21</v>
      </c>
      <c r="L245" s="27">
        <v>11.5</v>
      </c>
      <c r="M245" s="27">
        <v>24</v>
      </c>
      <c r="N245" s="27">
        <v>19</v>
      </c>
      <c r="O245" s="27">
        <v>20</v>
      </c>
    </row>
    <row r="246" spans="1:73" x14ac:dyDescent="0.25">
      <c r="A246" s="1" t="s">
        <v>137</v>
      </c>
      <c r="B246" t="s">
        <v>102</v>
      </c>
      <c r="C246" t="s">
        <v>47</v>
      </c>
      <c r="D246" s="22" t="s">
        <v>106</v>
      </c>
      <c r="E246" s="2" t="s">
        <v>66</v>
      </c>
      <c r="F246" s="2"/>
      <c r="G246" s="27">
        <v>2.1800000000000002</v>
      </c>
      <c r="H246" s="27">
        <v>2.89</v>
      </c>
      <c r="I246" s="27">
        <v>11.31</v>
      </c>
      <c r="J246" s="27">
        <v>2.7</v>
      </c>
      <c r="K246" s="27">
        <v>2.2400000000000002</v>
      </c>
      <c r="L246" s="27">
        <v>5.75</v>
      </c>
      <c r="M246" s="100">
        <v>3</v>
      </c>
      <c r="N246" s="100">
        <v>2</v>
      </c>
      <c r="O246" s="27">
        <v>2.54</v>
      </c>
    </row>
    <row r="247" spans="1:73" x14ac:dyDescent="0.25">
      <c r="A247" s="1" t="s">
        <v>137</v>
      </c>
      <c r="B247" t="s">
        <v>102</v>
      </c>
      <c r="C247" t="s">
        <v>47</v>
      </c>
      <c r="D247" s="22" t="s">
        <v>107</v>
      </c>
      <c r="E247" s="2" t="s">
        <v>66</v>
      </c>
      <c r="F247" s="2"/>
      <c r="G247" s="27">
        <v>18</v>
      </c>
      <c r="H247" s="27">
        <v>9</v>
      </c>
      <c r="I247" s="27">
        <v>9</v>
      </c>
      <c r="J247" s="27">
        <v>21.5</v>
      </c>
      <c r="K247" s="27">
        <v>21</v>
      </c>
      <c r="L247" s="27">
        <v>6.5</v>
      </c>
      <c r="M247" s="27">
        <v>18</v>
      </c>
      <c r="N247" s="27">
        <v>15</v>
      </c>
      <c r="O247" s="27">
        <v>33</v>
      </c>
    </row>
    <row r="248" spans="1:73" x14ac:dyDescent="0.25">
      <c r="A248" s="1" t="s">
        <v>137</v>
      </c>
      <c r="B248" t="s">
        <v>102</v>
      </c>
      <c r="C248" t="s">
        <v>47</v>
      </c>
      <c r="D248" s="22" t="s">
        <v>108</v>
      </c>
      <c r="E248" s="2" t="s">
        <v>66</v>
      </c>
      <c r="F248" s="2"/>
      <c r="G248" s="27">
        <v>3.74</v>
      </c>
      <c r="H248" s="27">
        <v>2.5</v>
      </c>
      <c r="I248" s="27">
        <v>10.76</v>
      </c>
      <c r="J248" s="27">
        <v>2.0499999999999998</v>
      </c>
      <c r="K248" s="27">
        <v>1.81</v>
      </c>
      <c r="L248" s="27">
        <v>3.37</v>
      </c>
      <c r="M248" s="27">
        <v>2.29</v>
      </c>
      <c r="N248" s="27">
        <v>2.63</v>
      </c>
      <c r="O248" s="27">
        <v>5.12</v>
      </c>
    </row>
    <row r="249" spans="1:73" x14ac:dyDescent="0.25">
      <c r="A249" s="84" t="s">
        <v>137</v>
      </c>
      <c r="B249" s="83" t="s">
        <v>66</v>
      </c>
      <c r="C249" s="83" t="s">
        <v>66</v>
      </c>
      <c r="D249" s="83" t="s">
        <v>138</v>
      </c>
      <c r="E249" s="83" t="s">
        <v>66</v>
      </c>
      <c r="F249" s="83"/>
      <c r="G249" s="83"/>
      <c r="H249" s="45"/>
      <c r="I249" s="27" t="s">
        <v>139</v>
      </c>
      <c r="O249" s="27"/>
    </row>
    <row r="250" spans="1:73" ht="90.75" x14ac:dyDescent="0.25">
      <c r="A250" s="84" t="s">
        <v>137</v>
      </c>
      <c r="B250" s="83" t="s">
        <v>66</v>
      </c>
      <c r="C250" s="83" t="s">
        <v>66</v>
      </c>
      <c r="D250" s="83" t="s">
        <v>112</v>
      </c>
      <c r="E250" s="83" t="s">
        <v>66</v>
      </c>
      <c r="F250" s="83"/>
      <c r="G250" s="45"/>
      <c r="H250" s="45"/>
      <c r="I250" s="43"/>
      <c r="J250" s="43"/>
      <c r="K250" s="43"/>
      <c r="L250" s="43"/>
      <c r="M250" s="43"/>
      <c r="N250" s="45" t="s">
        <v>140</v>
      </c>
      <c r="O250" s="43" t="s">
        <v>141</v>
      </c>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row>
    <row r="251" spans="1:73" ht="90.75" x14ac:dyDescent="0.25">
      <c r="A251" s="84" t="s">
        <v>137</v>
      </c>
      <c r="B251" s="83" t="s">
        <v>66</v>
      </c>
      <c r="C251" s="83" t="s">
        <v>66</v>
      </c>
      <c r="D251" s="83" t="s">
        <v>115</v>
      </c>
      <c r="E251" s="83" t="s">
        <v>66</v>
      </c>
      <c r="F251" s="83"/>
      <c r="G251" s="45"/>
      <c r="H251" s="45"/>
      <c r="I251" s="43"/>
      <c r="J251" s="43"/>
      <c r="K251" s="43"/>
      <c r="L251" s="43"/>
      <c r="M251" s="43"/>
      <c r="N251" s="45" t="s">
        <v>142</v>
      </c>
      <c r="O251" s="43" t="s">
        <v>143</v>
      </c>
      <c r="P251" s="43"/>
      <c r="Q251" s="43"/>
      <c r="R251" s="43"/>
      <c r="S251" s="43"/>
      <c r="T251" s="43"/>
      <c r="U251" s="43"/>
      <c r="V251" s="43"/>
      <c r="W251" s="43"/>
      <c r="X251" s="43"/>
      <c r="Y251" s="43"/>
      <c r="Z251" s="43"/>
      <c r="AA251" s="43"/>
      <c r="AB251" s="43"/>
      <c r="AC251" s="43"/>
      <c r="AD251" s="43"/>
      <c r="AE251" s="43"/>
      <c r="AF251" s="43"/>
      <c r="AG251" s="43"/>
      <c r="AH251" s="43"/>
      <c r="AI251" s="43"/>
      <c r="AJ251" s="43"/>
      <c r="AK251" s="43"/>
      <c r="AL251" s="43"/>
      <c r="AM251" s="43"/>
      <c r="AN251" s="43"/>
      <c r="AO251" s="43"/>
      <c r="AP251" s="43"/>
      <c r="AQ251" s="43"/>
      <c r="AR251" s="43"/>
      <c r="AS251" s="43"/>
      <c r="AT251" s="43"/>
      <c r="AU251" s="43"/>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row>
    <row r="252" spans="1:73" s="17" customFormat="1" ht="90.75" x14ac:dyDescent="0.25">
      <c r="A252" s="85" t="s">
        <v>137</v>
      </c>
      <c r="B252" s="44" t="s">
        <v>66</v>
      </c>
      <c r="C252" s="44" t="s">
        <v>66</v>
      </c>
      <c r="D252" s="44" t="s">
        <v>118</v>
      </c>
      <c r="E252" s="44" t="s">
        <v>66</v>
      </c>
      <c r="F252" s="44"/>
      <c r="G252" s="86"/>
      <c r="H252" s="86"/>
      <c r="I252" s="91"/>
      <c r="J252" s="91"/>
      <c r="K252" s="91"/>
      <c r="L252" s="91"/>
      <c r="M252" s="91"/>
      <c r="N252" s="91"/>
      <c r="O252" s="91" t="s">
        <v>144</v>
      </c>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2"/>
      <c r="AW252" s="92"/>
      <c r="AX252" s="92"/>
      <c r="AY252" s="92"/>
      <c r="AZ252" s="92"/>
      <c r="BA252" s="92"/>
      <c r="BB252" s="92"/>
      <c r="BC252" s="92"/>
      <c r="BD252" s="92"/>
      <c r="BE252" s="92"/>
      <c r="BF252" s="92"/>
      <c r="BG252" s="92"/>
      <c r="BH252" s="92"/>
      <c r="BI252" s="92"/>
      <c r="BJ252" s="92"/>
      <c r="BK252" s="92"/>
      <c r="BL252" s="92"/>
      <c r="BM252" s="92"/>
      <c r="BN252" s="92"/>
      <c r="BO252" s="92"/>
      <c r="BP252" s="92"/>
      <c r="BQ252" s="92"/>
      <c r="BR252" s="92"/>
      <c r="BS252" s="92"/>
      <c r="BT252" s="92"/>
      <c r="BU252" s="92"/>
    </row>
    <row r="254" spans="1:73" x14ac:dyDescent="0.25">
      <c r="A254" s="1" t="s">
        <v>145</v>
      </c>
      <c r="B254" t="s">
        <v>46</v>
      </c>
      <c r="C254" t="s">
        <v>47</v>
      </c>
      <c r="D254" s="22" t="s">
        <v>48</v>
      </c>
      <c r="E254" s="2" t="s">
        <v>49</v>
      </c>
      <c r="F254" s="2"/>
      <c r="G254" s="27">
        <v>52.6</v>
      </c>
      <c r="H254" s="27">
        <v>72.3</v>
      </c>
      <c r="I254" s="27">
        <v>61.3</v>
      </c>
      <c r="J254" s="27">
        <v>61.2</v>
      </c>
      <c r="K254" s="27">
        <v>58.7</v>
      </c>
      <c r="L254" s="27">
        <v>72.099999999999994</v>
      </c>
      <c r="M254" s="27">
        <v>94</v>
      </c>
      <c r="N254" s="27">
        <v>97.5</v>
      </c>
      <c r="O254" s="27">
        <v>90.3</v>
      </c>
    </row>
    <row r="255" spans="1:73" x14ac:dyDescent="0.25">
      <c r="A255" s="1" t="s">
        <v>145</v>
      </c>
      <c r="B255" t="s">
        <v>46</v>
      </c>
      <c r="C255" t="s">
        <v>47</v>
      </c>
      <c r="D255" s="22" t="s">
        <v>50</v>
      </c>
      <c r="E255" s="2" t="s">
        <v>51</v>
      </c>
      <c r="F255" s="2"/>
      <c r="G255" s="27">
        <v>4.58</v>
      </c>
      <c r="H255" s="27">
        <v>3.74</v>
      </c>
      <c r="I255" s="27">
        <v>4.88</v>
      </c>
      <c r="J255" s="27">
        <v>1.08</v>
      </c>
      <c r="L255" s="27">
        <v>7.22</v>
      </c>
      <c r="M255" s="27">
        <v>7.03</v>
      </c>
      <c r="N255" s="27">
        <v>4.99</v>
      </c>
      <c r="O255" s="27">
        <v>4.84</v>
      </c>
    </row>
    <row r="256" spans="1:73" x14ac:dyDescent="0.25">
      <c r="A256" s="1" t="s">
        <v>145</v>
      </c>
      <c r="B256" t="s">
        <v>46</v>
      </c>
      <c r="C256" t="s">
        <v>47</v>
      </c>
      <c r="D256" s="22" t="s">
        <v>52</v>
      </c>
      <c r="E256" s="2" t="s">
        <v>53</v>
      </c>
      <c r="F256" s="2"/>
      <c r="G256" s="27">
        <v>19</v>
      </c>
      <c r="H256" s="27">
        <v>28</v>
      </c>
      <c r="I256" s="27">
        <v>30</v>
      </c>
      <c r="J256" s="27">
        <v>34</v>
      </c>
      <c r="K256" s="27">
        <v>49</v>
      </c>
      <c r="L256" s="27">
        <v>38</v>
      </c>
      <c r="M256" s="27">
        <v>13</v>
      </c>
      <c r="N256" s="27">
        <v>21</v>
      </c>
      <c r="O256" s="27">
        <v>34</v>
      </c>
    </row>
    <row r="257" spans="1:15" x14ac:dyDescent="0.25">
      <c r="A257" s="1" t="s">
        <v>145</v>
      </c>
      <c r="B257" t="s">
        <v>46</v>
      </c>
      <c r="C257" t="s">
        <v>47</v>
      </c>
      <c r="D257" s="22" t="s">
        <v>54</v>
      </c>
      <c r="E257" s="2" t="s">
        <v>55</v>
      </c>
      <c r="F257" s="2"/>
      <c r="G257" s="27">
        <v>0</v>
      </c>
      <c r="H257" s="27">
        <v>0</v>
      </c>
      <c r="I257" s="27">
        <v>0</v>
      </c>
      <c r="J257" s="27">
        <v>0</v>
      </c>
      <c r="K257" s="27">
        <v>0</v>
      </c>
      <c r="L257" s="27">
        <v>0</v>
      </c>
      <c r="M257" s="27">
        <v>0</v>
      </c>
      <c r="N257" s="27">
        <v>0</v>
      </c>
      <c r="O257" s="27">
        <v>0</v>
      </c>
    </row>
    <row r="258" spans="1:15" x14ac:dyDescent="0.25">
      <c r="A258" s="1" t="s">
        <v>145</v>
      </c>
      <c r="B258" t="s">
        <v>56</v>
      </c>
      <c r="C258" t="s">
        <v>57</v>
      </c>
      <c r="D258" s="22" t="s">
        <v>58</v>
      </c>
      <c r="E258" s="13" t="s">
        <v>59</v>
      </c>
      <c r="F258" s="13"/>
      <c r="G258" s="27">
        <v>0</v>
      </c>
      <c r="H258" s="27">
        <v>0</v>
      </c>
      <c r="I258" s="27">
        <v>0</v>
      </c>
      <c r="J258" s="27">
        <v>0</v>
      </c>
      <c r="K258" s="27">
        <v>0</v>
      </c>
      <c r="L258" s="27">
        <v>0</v>
      </c>
      <c r="M258" s="27">
        <v>0</v>
      </c>
      <c r="N258" s="27">
        <v>0</v>
      </c>
      <c r="O258" s="27">
        <v>0</v>
      </c>
    </row>
    <row r="259" spans="1:15" x14ac:dyDescent="0.25">
      <c r="A259" s="1" t="s">
        <v>145</v>
      </c>
      <c r="B259" t="s">
        <v>56</v>
      </c>
      <c r="C259" t="s">
        <v>57</v>
      </c>
      <c r="D259" s="23" t="s">
        <v>60</v>
      </c>
      <c r="E259" s="13" t="s">
        <v>61</v>
      </c>
      <c r="F259" s="13"/>
      <c r="G259" s="27">
        <v>0</v>
      </c>
      <c r="H259" s="27">
        <v>0</v>
      </c>
      <c r="I259" s="27">
        <v>0</v>
      </c>
      <c r="J259" s="27">
        <v>0</v>
      </c>
      <c r="K259" s="27">
        <v>0</v>
      </c>
      <c r="L259" s="27">
        <v>0</v>
      </c>
      <c r="M259" s="27">
        <v>0</v>
      </c>
      <c r="N259" s="27">
        <v>0</v>
      </c>
      <c r="O259" s="27">
        <v>0</v>
      </c>
    </row>
    <row r="260" spans="1:15" x14ac:dyDescent="0.25">
      <c r="A260" s="1" t="s">
        <v>145</v>
      </c>
      <c r="B260" t="s">
        <v>56</v>
      </c>
      <c r="C260" t="s">
        <v>57</v>
      </c>
      <c r="D260" s="23" t="s">
        <v>62</v>
      </c>
      <c r="E260" s="13" t="s">
        <v>63</v>
      </c>
      <c r="F260" s="13"/>
      <c r="G260" s="27">
        <v>0</v>
      </c>
      <c r="H260" s="27">
        <v>0</v>
      </c>
      <c r="I260" s="27">
        <v>0</v>
      </c>
      <c r="J260" s="27">
        <v>0</v>
      </c>
      <c r="K260" s="27">
        <v>0</v>
      </c>
      <c r="L260" s="27">
        <v>0</v>
      </c>
      <c r="M260" s="27">
        <v>0</v>
      </c>
      <c r="N260" s="27">
        <v>1</v>
      </c>
      <c r="O260" s="27">
        <v>0</v>
      </c>
    </row>
    <row r="261" spans="1:15" x14ac:dyDescent="0.25">
      <c r="A261" s="1" t="s">
        <v>145</v>
      </c>
      <c r="B261" t="s">
        <v>56</v>
      </c>
      <c r="C261" t="s">
        <v>57</v>
      </c>
      <c r="D261" s="22" t="s">
        <v>64</v>
      </c>
      <c r="E261" s="2" t="s">
        <v>65</v>
      </c>
      <c r="F261" s="2"/>
      <c r="G261" s="27" t="s">
        <v>66</v>
      </c>
      <c r="H261" s="27" t="s">
        <v>66</v>
      </c>
      <c r="I261" s="27" t="s">
        <v>66</v>
      </c>
      <c r="J261" s="27" t="s">
        <v>66</v>
      </c>
      <c r="K261" s="27" t="s">
        <v>66</v>
      </c>
      <c r="L261" s="27" t="s">
        <v>66</v>
      </c>
      <c r="M261" s="27" t="s">
        <v>66</v>
      </c>
      <c r="N261" s="27" t="s">
        <v>66</v>
      </c>
      <c r="O261" s="27" t="s">
        <v>66</v>
      </c>
    </row>
    <row r="262" spans="1:15" x14ac:dyDescent="0.25">
      <c r="A262" s="1" t="s">
        <v>145</v>
      </c>
      <c r="B262" t="s">
        <v>9</v>
      </c>
      <c r="C262" t="s">
        <v>67</v>
      </c>
      <c r="D262" s="22" t="s">
        <v>68</v>
      </c>
      <c r="E262" s="2" t="s">
        <v>69</v>
      </c>
      <c r="F262" s="2"/>
      <c r="G262" s="27">
        <v>4</v>
      </c>
      <c r="H262" s="27">
        <v>3</v>
      </c>
      <c r="I262" s="27">
        <v>3</v>
      </c>
      <c r="J262" s="27">
        <v>8</v>
      </c>
      <c r="K262" s="27">
        <v>11</v>
      </c>
      <c r="L262" s="27">
        <v>10</v>
      </c>
      <c r="M262" s="27">
        <v>6</v>
      </c>
      <c r="N262" s="27">
        <v>16</v>
      </c>
      <c r="O262" s="27">
        <v>10</v>
      </c>
    </row>
    <row r="263" spans="1:15" x14ac:dyDescent="0.25">
      <c r="A263" s="1" t="s">
        <v>145</v>
      </c>
      <c r="B263" t="s">
        <v>9</v>
      </c>
      <c r="C263" t="s">
        <v>67</v>
      </c>
      <c r="D263" s="22" t="s">
        <v>70</v>
      </c>
      <c r="E263" s="2" t="s">
        <v>69</v>
      </c>
      <c r="F263" s="2"/>
      <c r="G263" s="27">
        <v>8</v>
      </c>
      <c r="H263" s="27">
        <v>2</v>
      </c>
      <c r="I263" s="27">
        <v>7</v>
      </c>
      <c r="J263" s="27">
        <v>1</v>
      </c>
      <c r="K263" s="27">
        <v>4</v>
      </c>
      <c r="L263" s="27">
        <v>5</v>
      </c>
      <c r="M263" s="27">
        <v>3</v>
      </c>
      <c r="N263" s="27">
        <v>5</v>
      </c>
      <c r="O263" s="27">
        <v>17</v>
      </c>
    </row>
    <row r="264" spans="1:15" x14ac:dyDescent="0.25">
      <c r="A264" s="1" t="s">
        <v>145</v>
      </c>
      <c r="B264" t="s">
        <v>9</v>
      </c>
      <c r="C264" t="s">
        <v>71</v>
      </c>
      <c r="D264" s="20" t="s">
        <v>10</v>
      </c>
      <c r="E264" s="2" t="s">
        <v>11</v>
      </c>
      <c r="F264" s="2"/>
      <c r="O264" s="27"/>
    </row>
    <row r="265" spans="1:15" x14ac:dyDescent="0.25">
      <c r="A265" s="1" t="s">
        <v>145</v>
      </c>
      <c r="B265" t="s">
        <v>9</v>
      </c>
      <c r="C265" t="s">
        <v>71</v>
      </c>
      <c r="D265" s="20" t="s">
        <v>72</v>
      </c>
      <c r="E265" s="2" t="s">
        <v>73</v>
      </c>
      <c r="F265" s="2"/>
      <c r="O265" s="27"/>
    </row>
    <row r="266" spans="1:15" x14ac:dyDescent="0.25">
      <c r="A266" s="1" t="s">
        <v>145</v>
      </c>
      <c r="B266" t="s">
        <v>9</v>
      </c>
      <c r="C266" t="s">
        <v>71</v>
      </c>
      <c r="D266" s="20" t="s">
        <v>74</v>
      </c>
      <c r="E266" s="2" t="s">
        <v>71</v>
      </c>
      <c r="F266" s="2"/>
      <c r="O266" s="27"/>
    </row>
    <row r="267" spans="1:15" x14ac:dyDescent="0.25">
      <c r="A267" s="1" t="s">
        <v>145</v>
      </c>
      <c r="B267" t="s">
        <v>9</v>
      </c>
      <c r="C267" t="s">
        <v>71</v>
      </c>
      <c r="D267" s="20" t="s">
        <v>75</v>
      </c>
      <c r="E267" s="2" t="s">
        <v>71</v>
      </c>
      <c r="F267" s="2"/>
      <c r="O267" s="27"/>
    </row>
    <row r="268" spans="1:15" x14ac:dyDescent="0.25">
      <c r="A268" s="1" t="s">
        <v>145</v>
      </c>
      <c r="B268" t="s">
        <v>76</v>
      </c>
      <c r="C268" t="s">
        <v>67</v>
      </c>
      <c r="D268" s="22" t="s">
        <v>77</v>
      </c>
      <c r="E268" s="2" t="s">
        <v>78</v>
      </c>
      <c r="F268" s="2"/>
      <c r="G268" s="27">
        <v>0</v>
      </c>
      <c r="H268" s="27">
        <v>0</v>
      </c>
      <c r="I268" s="27">
        <v>0</v>
      </c>
      <c r="J268" s="27">
        <v>0</v>
      </c>
      <c r="K268" s="27">
        <v>0</v>
      </c>
      <c r="L268" s="27">
        <v>100</v>
      </c>
      <c r="M268" s="27">
        <v>0</v>
      </c>
      <c r="N268" s="27">
        <v>0</v>
      </c>
      <c r="O268" s="27">
        <v>100</v>
      </c>
    </row>
    <row r="269" spans="1:15" x14ac:dyDescent="0.25">
      <c r="A269" s="1" t="s">
        <v>145</v>
      </c>
      <c r="B269" t="s">
        <v>76</v>
      </c>
      <c r="C269" t="s">
        <v>47</v>
      </c>
      <c r="D269" s="22" t="s">
        <v>79</v>
      </c>
      <c r="E269" s="2" t="s">
        <v>80</v>
      </c>
      <c r="F269" s="2"/>
      <c r="G269" s="27">
        <v>25</v>
      </c>
      <c r="H269" s="27">
        <v>59</v>
      </c>
      <c r="I269" s="27">
        <v>36</v>
      </c>
      <c r="J269" s="27">
        <v>26</v>
      </c>
      <c r="K269" s="27">
        <v>6</v>
      </c>
      <c r="L269" s="27">
        <v>27</v>
      </c>
      <c r="M269" s="27">
        <v>42</v>
      </c>
      <c r="N269" s="27">
        <v>39</v>
      </c>
      <c r="O269" s="27">
        <v>18</v>
      </c>
    </row>
    <row r="270" spans="1:15" x14ac:dyDescent="0.25">
      <c r="A270" s="1" t="s">
        <v>145</v>
      </c>
      <c r="B270" t="s">
        <v>76</v>
      </c>
      <c r="C270" t="s">
        <v>47</v>
      </c>
      <c r="D270" s="22" t="s">
        <v>81</v>
      </c>
      <c r="E270" s="2" t="s">
        <v>82</v>
      </c>
      <c r="F270" s="2"/>
      <c r="G270" s="27">
        <v>2</v>
      </c>
      <c r="H270" s="27">
        <v>10</v>
      </c>
      <c r="I270" s="27">
        <v>4</v>
      </c>
      <c r="J270" s="27">
        <v>6</v>
      </c>
      <c r="K270" s="27">
        <v>3</v>
      </c>
      <c r="L270" s="27">
        <v>0</v>
      </c>
      <c r="M270" s="27">
        <v>3</v>
      </c>
      <c r="N270" s="27">
        <v>4</v>
      </c>
      <c r="O270" s="27">
        <v>5</v>
      </c>
    </row>
    <row r="271" spans="1:15" x14ac:dyDescent="0.25">
      <c r="A271" s="1" t="s">
        <v>145</v>
      </c>
      <c r="B271" t="s">
        <v>76</v>
      </c>
      <c r="C271" t="s">
        <v>47</v>
      </c>
      <c r="D271" s="22" t="s">
        <v>83</v>
      </c>
      <c r="E271" s="2" t="s">
        <v>84</v>
      </c>
      <c r="F271" s="2"/>
      <c r="G271" s="27">
        <v>73</v>
      </c>
      <c r="H271" s="27">
        <v>31</v>
      </c>
      <c r="I271" s="27">
        <v>60</v>
      </c>
      <c r="J271" s="27">
        <v>67</v>
      </c>
      <c r="K271" s="27">
        <v>91</v>
      </c>
      <c r="L271" s="27">
        <v>73</v>
      </c>
      <c r="M271" s="27">
        <v>55</v>
      </c>
      <c r="N271" s="27">
        <v>57</v>
      </c>
      <c r="O271" s="27">
        <v>77</v>
      </c>
    </row>
    <row r="272" spans="1:15" x14ac:dyDescent="0.25">
      <c r="A272" s="1" t="s">
        <v>145</v>
      </c>
      <c r="B272" t="s">
        <v>76</v>
      </c>
      <c r="C272" t="s">
        <v>47</v>
      </c>
      <c r="D272" s="22" t="s">
        <v>85</v>
      </c>
      <c r="E272" s="2" t="s">
        <v>66</v>
      </c>
      <c r="F272" s="2"/>
      <c r="G272" s="27">
        <v>0</v>
      </c>
      <c r="H272" s="27">
        <v>0</v>
      </c>
      <c r="I272" s="27">
        <v>0</v>
      </c>
      <c r="J272" s="27">
        <v>0</v>
      </c>
      <c r="K272" s="27">
        <v>0</v>
      </c>
      <c r="O272" s="27"/>
    </row>
    <row r="273" spans="1:42" x14ac:dyDescent="0.25">
      <c r="A273" s="1" t="s">
        <v>145</v>
      </c>
      <c r="B273" t="s">
        <v>76</v>
      </c>
      <c r="C273" t="s">
        <v>71</v>
      </c>
      <c r="D273" s="20" t="s">
        <v>86</v>
      </c>
      <c r="E273" s="2" t="s">
        <v>87</v>
      </c>
      <c r="F273" s="2"/>
      <c r="O273" s="27"/>
    </row>
    <row r="274" spans="1:42" x14ac:dyDescent="0.25">
      <c r="A274" s="1" t="s">
        <v>145</v>
      </c>
      <c r="B274" t="s">
        <v>76</v>
      </c>
      <c r="C274" t="s">
        <v>71</v>
      </c>
      <c r="D274" s="20" t="s">
        <v>89</v>
      </c>
      <c r="E274" s="2" t="s">
        <v>90</v>
      </c>
      <c r="F274" s="2"/>
      <c r="O274" s="27"/>
    </row>
    <row r="275" spans="1:42" x14ac:dyDescent="0.25">
      <c r="A275" s="1" t="s">
        <v>145</v>
      </c>
      <c r="B275" t="s">
        <v>91</v>
      </c>
      <c r="C275" t="s">
        <v>47</v>
      </c>
      <c r="D275" s="15" t="s">
        <v>92</v>
      </c>
      <c r="E275" s="2" t="s">
        <v>93</v>
      </c>
      <c r="F275" s="2"/>
      <c r="G275" s="31">
        <v>67</v>
      </c>
      <c r="H275" s="31">
        <v>67</v>
      </c>
      <c r="I275" s="31">
        <v>71</v>
      </c>
      <c r="J275" s="31">
        <v>71</v>
      </c>
      <c r="K275" s="31">
        <v>71</v>
      </c>
      <c r="O275" s="27"/>
    </row>
    <row r="276" spans="1:42" x14ac:dyDescent="0.25">
      <c r="A276" s="1" t="s">
        <v>145</v>
      </c>
      <c r="B276" t="s">
        <v>91</v>
      </c>
      <c r="C276" t="s">
        <v>47</v>
      </c>
      <c r="D276" s="15" t="s">
        <v>94</v>
      </c>
      <c r="E276" s="2" t="s">
        <v>71</v>
      </c>
      <c r="F276" s="2"/>
      <c r="G276" s="31">
        <v>47</v>
      </c>
      <c r="H276" s="31">
        <v>47</v>
      </c>
      <c r="I276" s="31">
        <v>42</v>
      </c>
      <c r="J276" s="31">
        <v>42</v>
      </c>
      <c r="K276" s="31">
        <v>42</v>
      </c>
      <c r="O276" s="27"/>
    </row>
    <row r="277" spans="1:42" x14ac:dyDescent="0.25">
      <c r="A277" s="1" t="s">
        <v>145</v>
      </c>
      <c r="B277" t="s">
        <v>91</v>
      </c>
      <c r="C277" t="s">
        <v>47</v>
      </c>
      <c r="D277" s="15" t="s">
        <v>95</v>
      </c>
      <c r="E277" s="2" t="s">
        <v>96</v>
      </c>
      <c r="F277" s="2"/>
      <c r="G277" s="31">
        <v>67</v>
      </c>
      <c r="H277" s="31">
        <v>67</v>
      </c>
      <c r="I277" s="31">
        <v>58</v>
      </c>
      <c r="J277" s="31">
        <v>58</v>
      </c>
      <c r="K277" s="31">
        <v>58</v>
      </c>
      <c r="O277" s="27"/>
    </row>
    <row r="278" spans="1:42" x14ac:dyDescent="0.25">
      <c r="A278" s="1" t="s">
        <v>145</v>
      </c>
      <c r="B278" t="s">
        <v>91</v>
      </c>
      <c r="C278" t="s">
        <v>47</v>
      </c>
      <c r="D278" s="15" t="s">
        <v>97</v>
      </c>
      <c r="E278" s="2" t="s">
        <v>98</v>
      </c>
      <c r="F278" s="2"/>
      <c r="G278" s="31">
        <v>46</v>
      </c>
      <c r="H278" s="31">
        <v>46</v>
      </c>
      <c r="I278" s="31">
        <v>62</v>
      </c>
      <c r="J278" s="31">
        <v>62</v>
      </c>
      <c r="K278" s="31">
        <v>62</v>
      </c>
      <c r="O278" s="27"/>
    </row>
    <row r="279" spans="1:42" x14ac:dyDescent="0.25">
      <c r="A279" s="1" t="s">
        <v>145</v>
      </c>
      <c r="B279" t="s">
        <v>91</v>
      </c>
      <c r="C279" t="s">
        <v>71</v>
      </c>
      <c r="D279" s="20" t="s">
        <v>99</v>
      </c>
      <c r="E279" s="2" t="s">
        <v>100</v>
      </c>
      <c r="F279" s="2"/>
      <c r="O279" s="27"/>
    </row>
    <row r="280" spans="1:42" x14ac:dyDescent="0.25">
      <c r="A280" s="1" t="s">
        <v>145</v>
      </c>
      <c r="B280" t="s">
        <v>91</v>
      </c>
      <c r="C280" t="s">
        <v>71</v>
      </c>
      <c r="D280" s="25" t="s">
        <v>101</v>
      </c>
      <c r="E280" s="2" t="s">
        <v>71</v>
      </c>
      <c r="F280" s="2"/>
      <c r="G280" s="27">
        <v>0</v>
      </c>
      <c r="H280" s="27">
        <v>0</v>
      </c>
      <c r="I280" s="27">
        <v>0</v>
      </c>
      <c r="J280" s="27">
        <v>0</v>
      </c>
      <c r="K280" s="27">
        <v>0</v>
      </c>
      <c r="L280" s="27">
        <v>0</v>
      </c>
      <c r="M280" s="27">
        <v>0</v>
      </c>
      <c r="N280" s="27">
        <v>0</v>
      </c>
      <c r="O280" s="27">
        <v>0</v>
      </c>
    </row>
    <row r="281" spans="1:42" x14ac:dyDescent="0.25">
      <c r="A281" s="1" t="s">
        <v>145</v>
      </c>
      <c r="B281" t="s">
        <v>102</v>
      </c>
      <c r="C281" t="s">
        <v>47</v>
      </c>
      <c r="D281" s="22" t="s">
        <v>103</v>
      </c>
      <c r="E281" s="2" t="s">
        <v>66</v>
      </c>
      <c r="F281" s="2"/>
      <c r="G281" s="27">
        <v>10</v>
      </c>
      <c r="H281" s="27">
        <v>11</v>
      </c>
      <c r="I281" s="27">
        <v>8</v>
      </c>
      <c r="J281" s="27">
        <v>9</v>
      </c>
      <c r="K281" s="27">
        <v>8</v>
      </c>
      <c r="L281" s="27">
        <v>6</v>
      </c>
      <c r="M281" s="27">
        <v>5</v>
      </c>
      <c r="N281" s="27">
        <v>13</v>
      </c>
      <c r="O281" s="27">
        <v>13</v>
      </c>
    </row>
    <row r="282" spans="1:42" x14ac:dyDescent="0.25">
      <c r="A282" s="1" t="s">
        <v>145</v>
      </c>
      <c r="B282" t="s">
        <v>102</v>
      </c>
      <c r="C282" t="s">
        <v>47</v>
      </c>
      <c r="D282" s="22" t="s">
        <v>104</v>
      </c>
      <c r="E282" s="2" t="s">
        <v>66</v>
      </c>
      <c r="F282" s="2"/>
      <c r="G282" s="27">
        <v>1.6</v>
      </c>
      <c r="H282" s="27">
        <v>1.85</v>
      </c>
      <c r="I282" s="27">
        <v>1.33</v>
      </c>
      <c r="J282" s="27">
        <v>1.77</v>
      </c>
      <c r="K282" s="27">
        <v>1.1399999999999999</v>
      </c>
      <c r="L282" s="27">
        <v>1.1000000000000001</v>
      </c>
      <c r="M282" s="27">
        <v>1.1000000000000001</v>
      </c>
      <c r="N282" s="27">
        <v>3.43</v>
      </c>
      <c r="O282" s="27">
        <v>2.14</v>
      </c>
    </row>
    <row r="283" spans="1:42" x14ac:dyDescent="0.25">
      <c r="A283" s="1" t="s">
        <v>145</v>
      </c>
      <c r="B283" t="s">
        <v>102</v>
      </c>
      <c r="C283" t="s">
        <v>47</v>
      </c>
      <c r="D283" s="22" t="s">
        <v>105</v>
      </c>
      <c r="E283" s="2" t="s">
        <v>66</v>
      </c>
      <c r="F283" s="2"/>
      <c r="G283" s="27">
        <v>11</v>
      </c>
      <c r="H283" s="27">
        <v>10</v>
      </c>
      <c r="I283" s="27">
        <v>4.5</v>
      </c>
      <c r="J283" s="27">
        <v>10</v>
      </c>
      <c r="K283" s="27">
        <v>9</v>
      </c>
      <c r="L283" s="27">
        <v>8</v>
      </c>
      <c r="M283" s="27">
        <v>5</v>
      </c>
      <c r="N283" s="27">
        <v>11</v>
      </c>
      <c r="O283" s="27">
        <v>13</v>
      </c>
    </row>
    <row r="284" spans="1:42" x14ac:dyDescent="0.25">
      <c r="A284" s="1" t="s">
        <v>145</v>
      </c>
      <c r="B284" t="s">
        <v>102</v>
      </c>
      <c r="C284" t="s">
        <v>47</v>
      </c>
      <c r="D284" s="22" t="s">
        <v>106</v>
      </c>
      <c r="E284" s="2" t="s">
        <v>66</v>
      </c>
      <c r="F284" s="2"/>
      <c r="G284" s="27">
        <v>2.15</v>
      </c>
      <c r="H284" s="27">
        <v>1.94</v>
      </c>
      <c r="I284" s="27">
        <v>0.79</v>
      </c>
      <c r="J284" s="27">
        <v>1.55</v>
      </c>
      <c r="K284" s="27">
        <v>1.4</v>
      </c>
      <c r="L284" s="27">
        <v>1.27</v>
      </c>
      <c r="M284" s="27">
        <v>0.83</v>
      </c>
      <c r="N284" s="27">
        <v>3.04</v>
      </c>
      <c r="O284" s="27">
        <v>2.14</v>
      </c>
    </row>
    <row r="285" spans="1:42" x14ac:dyDescent="0.25">
      <c r="A285" s="1" t="s">
        <v>145</v>
      </c>
      <c r="B285" t="s">
        <v>102</v>
      </c>
      <c r="C285" t="s">
        <v>47</v>
      </c>
      <c r="D285" s="22" t="s">
        <v>107</v>
      </c>
      <c r="E285" s="2" t="s">
        <v>66</v>
      </c>
      <c r="F285" s="2"/>
      <c r="G285" s="27">
        <v>4</v>
      </c>
      <c r="H285" s="27">
        <v>2</v>
      </c>
      <c r="I285" s="27">
        <v>6.5</v>
      </c>
      <c r="J285" s="27">
        <v>4</v>
      </c>
      <c r="K285" s="27">
        <v>4</v>
      </c>
      <c r="L285" s="27">
        <v>3</v>
      </c>
      <c r="M285" s="27">
        <v>1</v>
      </c>
      <c r="N285" s="27">
        <v>11</v>
      </c>
      <c r="O285" s="27">
        <v>15</v>
      </c>
    </row>
    <row r="286" spans="1:42" x14ac:dyDescent="0.25">
      <c r="A286" s="1" t="s">
        <v>145</v>
      </c>
      <c r="B286" t="s">
        <v>102</v>
      </c>
      <c r="C286" t="s">
        <v>47</v>
      </c>
      <c r="D286" s="22" t="s">
        <v>108</v>
      </c>
      <c r="E286" s="2" t="s">
        <v>66</v>
      </c>
      <c r="F286" s="2"/>
      <c r="G286" s="27">
        <v>1.1599999999999999</v>
      </c>
      <c r="H286" s="27">
        <v>0.82</v>
      </c>
      <c r="I286" s="27">
        <v>1.08</v>
      </c>
      <c r="J286" s="27">
        <v>0.78</v>
      </c>
      <c r="K286" s="27">
        <v>0.49</v>
      </c>
      <c r="L286" s="27">
        <v>0.88</v>
      </c>
      <c r="M286" s="27">
        <v>0.17</v>
      </c>
      <c r="N286" s="27">
        <v>2.2799999999999998</v>
      </c>
      <c r="O286" s="27">
        <v>3.97</v>
      </c>
    </row>
    <row r="287" spans="1:42" ht="147" x14ac:dyDescent="0.25">
      <c r="A287" s="1" t="s">
        <v>145</v>
      </c>
      <c r="B287" t="s">
        <v>66</v>
      </c>
      <c r="C287" t="s">
        <v>66</v>
      </c>
      <c r="D287" s="22" t="s">
        <v>112</v>
      </c>
      <c r="E287" s="2" t="s">
        <v>66</v>
      </c>
      <c r="F287" s="2"/>
      <c r="G287" s="43"/>
      <c r="H287" s="43"/>
      <c r="I287" s="43"/>
      <c r="J287" s="43"/>
      <c r="K287" s="43"/>
      <c r="L287" s="43"/>
      <c r="M287" s="43"/>
      <c r="N287" s="43" t="s">
        <v>146</v>
      </c>
      <c r="O287" s="43" t="s">
        <v>146</v>
      </c>
      <c r="P287" s="43"/>
      <c r="Q287" s="43"/>
      <c r="R287" s="43"/>
      <c r="S287" s="43"/>
      <c r="T287" s="43"/>
      <c r="U287" s="43"/>
      <c r="V287" s="43"/>
      <c r="W287" s="43"/>
      <c r="X287" s="43"/>
      <c r="Y287" s="43"/>
      <c r="Z287" s="43"/>
      <c r="AA287" s="43"/>
      <c r="AB287" s="43"/>
      <c r="AC287" s="12"/>
      <c r="AD287" s="12"/>
      <c r="AE287" s="12"/>
      <c r="AF287" s="12"/>
      <c r="AG287" s="12"/>
      <c r="AH287" s="12"/>
      <c r="AI287" s="12"/>
      <c r="AJ287" s="12"/>
      <c r="AK287" s="12"/>
      <c r="AL287" s="12"/>
      <c r="AM287" s="12"/>
      <c r="AN287" s="12"/>
      <c r="AO287" s="12"/>
      <c r="AP287" s="12"/>
    </row>
    <row r="288" spans="1:42" ht="113.25" x14ac:dyDescent="0.25">
      <c r="A288" s="1" t="s">
        <v>145</v>
      </c>
      <c r="B288" t="s">
        <v>66</v>
      </c>
      <c r="C288" t="s">
        <v>66</v>
      </c>
      <c r="D288" s="22" t="s">
        <v>115</v>
      </c>
      <c r="E288" s="2" t="s">
        <v>66</v>
      </c>
      <c r="F288" s="2"/>
      <c r="G288" s="43"/>
      <c r="H288" s="43"/>
      <c r="I288" s="43"/>
      <c r="J288" s="43"/>
      <c r="K288" s="43"/>
      <c r="L288" s="43"/>
      <c r="M288" s="43"/>
      <c r="N288" s="43" t="s">
        <v>147</v>
      </c>
      <c r="O288" s="101" t="s">
        <v>148</v>
      </c>
      <c r="P288" s="43"/>
      <c r="Q288" s="43"/>
      <c r="R288" s="43"/>
      <c r="S288" s="43"/>
      <c r="T288" s="43"/>
      <c r="U288" s="43"/>
      <c r="V288" s="43"/>
      <c r="W288" s="43"/>
      <c r="X288" s="43"/>
      <c r="Y288" s="43"/>
      <c r="Z288" s="43"/>
      <c r="AA288" s="43"/>
      <c r="AB288" s="43"/>
      <c r="AC288" s="12"/>
      <c r="AD288" s="12"/>
      <c r="AE288" s="12"/>
      <c r="AF288" s="12"/>
      <c r="AG288" s="12"/>
      <c r="AH288" s="12"/>
      <c r="AI288" s="12"/>
      <c r="AJ288" s="12"/>
      <c r="AK288" s="12"/>
      <c r="AL288" s="12"/>
      <c r="AM288" s="12"/>
      <c r="AN288" s="12"/>
      <c r="AO288" s="12"/>
      <c r="AP288" s="12"/>
    </row>
    <row r="289" spans="1:42" s="17" customFormat="1" x14ac:dyDescent="0.25">
      <c r="A289" s="81" t="s">
        <v>145</v>
      </c>
      <c r="B289" s="17" t="s">
        <v>66</v>
      </c>
      <c r="C289" s="17" t="s">
        <v>66</v>
      </c>
      <c r="D289" s="24" t="s">
        <v>118</v>
      </c>
      <c r="E289" s="18" t="s">
        <v>66</v>
      </c>
      <c r="F289" s="18"/>
      <c r="G289" s="91"/>
      <c r="H289" s="91"/>
      <c r="I289" s="91"/>
      <c r="J289" s="91"/>
      <c r="K289" s="91"/>
      <c r="L289" s="91"/>
      <c r="M289" s="91"/>
      <c r="N289" s="91"/>
      <c r="O289" s="41"/>
      <c r="P289" s="91"/>
      <c r="Q289" s="91"/>
      <c r="R289" s="91"/>
      <c r="S289" s="91"/>
      <c r="T289" s="91"/>
      <c r="U289" s="91"/>
      <c r="V289" s="91"/>
      <c r="W289" s="91"/>
      <c r="X289" s="91"/>
      <c r="Y289" s="91"/>
      <c r="Z289" s="91"/>
      <c r="AA289" s="91"/>
      <c r="AB289" s="91"/>
      <c r="AC289" s="92"/>
      <c r="AD289" s="92"/>
      <c r="AE289" s="92"/>
      <c r="AF289" s="92"/>
      <c r="AG289" s="92"/>
      <c r="AH289" s="92"/>
      <c r="AI289" s="92"/>
      <c r="AJ289" s="92"/>
      <c r="AK289" s="92"/>
      <c r="AL289" s="92"/>
      <c r="AM289" s="92"/>
      <c r="AN289" s="92"/>
      <c r="AO289" s="92"/>
      <c r="AP289" s="92"/>
    </row>
    <row r="290" spans="1:42" ht="15.75" customHeight="1" x14ac:dyDescent="0.25">
      <c r="K290" s="30" t="s">
        <v>37</v>
      </c>
      <c r="L290" s="30" t="s">
        <v>38</v>
      </c>
      <c r="M290" s="30" t="s">
        <v>39</v>
      </c>
      <c r="N290" s="30" t="s">
        <v>40</v>
      </c>
      <c r="O290" s="30" t="s">
        <v>41</v>
      </c>
    </row>
    <row r="291" spans="1:42" x14ac:dyDescent="0.25">
      <c r="A291" s="1" t="s">
        <v>149</v>
      </c>
      <c r="B291" t="s">
        <v>46</v>
      </c>
      <c r="C291" t="s">
        <v>47</v>
      </c>
      <c r="D291" s="22" t="s">
        <v>48</v>
      </c>
      <c r="E291" s="2" t="s">
        <v>49</v>
      </c>
      <c r="F291" s="2"/>
      <c r="G291" s="32">
        <v>1</v>
      </c>
      <c r="H291" s="33">
        <v>0.84499999999999997</v>
      </c>
      <c r="I291" s="33">
        <v>0.95499999999999996</v>
      </c>
      <c r="J291" s="33">
        <v>0.88200000000000001</v>
      </c>
      <c r="K291" s="32">
        <v>0.64900000000000002</v>
      </c>
      <c r="L291" s="32">
        <v>0.747</v>
      </c>
      <c r="M291" s="32">
        <v>0.90800000000000003</v>
      </c>
      <c r="N291" s="33">
        <v>0.753</v>
      </c>
      <c r="O291" s="33">
        <v>0.93899999999999995</v>
      </c>
    </row>
    <row r="292" spans="1:42" x14ac:dyDescent="0.25">
      <c r="A292" s="1" t="s">
        <v>149</v>
      </c>
      <c r="B292" t="s">
        <v>46</v>
      </c>
      <c r="C292" t="s">
        <v>47</v>
      </c>
      <c r="D292" s="22" t="s">
        <v>50</v>
      </c>
      <c r="E292" s="2" t="s">
        <v>51</v>
      </c>
      <c r="F292" s="2"/>
      <c r="G292" s="27">
        <v>1.87</v>
      </c>
      <c r="H292" s="27">
        <v>2.5</v>
      </c>
      <c r="I292" s="27">
        <v>1.83</v>
      </c>
      <c r="J292" s="27">
        <v>1.81</v>
      </c>
      <c r="K292" s="27">
        <v>3.05</v>
      </c>
      <c r="L292" s="27">
        <v>2.81</v>
      </c>
      <c r="M292" s="27">
        <v>3.42</v>
      </c>
      <c r="N292" s="27">
        <v>2.89</v>
      </c>
      <c r="O292" s="27">
        <v>2.98</v>
      </c>
    </row>
    <row r="293" spans="1:42" x14ac:dyDescent="0.25">
      <c r="A293" s="1" t="s">
        <v>149</v>
      </c>
      <c r="B293" t="s">
        <v>46</v>
      </c>
      <c r="C293" t="s">
        <v>47</v>
      </c>
      <c r="D293" s="22" t="s">
        <v>52</v>
      </c>
      <c r="E293" s="2" t="s">
        <v>53</v>
      </c>
      <c r="F293" s="2"/>
      <c r="G293" s="32">
        <v>0.16</v>
      </c>
      <c r="H293" s="33">
        <v>0.22</v>
      </c>
      <c r="I293" s="33">
        <v>0.15</v>
      </c>
      <c r="J293" s="33">
        <v>0.04</v>
      </c>
      <c r="K293" s="33">
        <v>0.01</v>
      </c>
      <c r="L293" s="32">
        <v>3.0000000000000001E-3</v>
      </c>
      <c r="M293" s="33">
        <v>0.03</v>
      </c>
      <c r="N293" s="33">
        <v>0.05</v>
      </c>
      <c r="O293" s="33">
        <v>0.16</v>
      </c>
    </row>
    <row r="294" spans="1:42" x14ac:dyDescent="0.25">
      <c r="A294" s="1" t="s">
        <v>149</v>
      </c>
      <c r="B294" t="s">
        <v>46</v>
      </c>
      <c r="C294" t="s">
        <v>47</v>
      </c>
      <c r="D294" s="22" t="s">
        <v>54</v>
      </c>
      <c r="E294" s="2" t="s">
        <v>55</v>
      </c>
      <c r="F294" s="2"/>
      <c r="G294" s="32">
        <v>0</v>
      </c>
      <c r="H294" s="33">
        <v>0</v>
      </c>
      <c r="I294" s="33">
        <v>0</v>
      </c>
      <c r="J294" s="33">
        <v>0</v>
      </c>
      <c r="K294" s="33">
        <v>0</v>
      </c>
      <c r="L294" s="33">
        <v>0</v>
      </c>
      <c r="M294" s="33">
        <v>0</v>
      </c>
      <c r="N294" s="33">
        <v>0</v>
      </c>
      <c r="O294" s="33">
        <v>0</v>
      </c>
    </row>
    <row r="295" spans="1:42" x14ac:dyDescent="0.25">
      <c r="A295" s="1" t="s">
        <v>149</v>
      </c>
      <c r="B295" t="s">
        <v>56</v>
      </c>
      <c r="C295" t="s">
        <v>57</v>
      </c>
      <c r="D295" s="22" t="s">
        <v>58</v>
      </c>
      <c r="E295" s="13" t="s">
        <v>59</v>
      </c>
      <c r="F295" s="13"/>
      <c r="G295" s="27">
        <v>0</v>
      </c>
      <c r="H295" s="27">
        <v>0</v>
      </c>
      <c r="I295" s="27">
        <v>0</v>
      </c>
      <c r="J295" s="27">
        <v>0</v>
      </c>
      <c r="K295" s="27">
        <v>0</v>
      </c>
      <c r="L295" s="27">
        <v>0</v>
      </c>
      <c r="M295" s="27">
        <v>0</v>
      </c>
      <c r="N295" s="27">
        <v>0</v>
      </c>
      <c r="O295" s="27">
        <v>0</v>
      </c>
    </row>
    <row r="296" spans="1:42" x14ac:dyDescent="0.25">
      <c r="A296" s="1" t="s">
        <v>149</v>
      </c>
      <c r="B296" t="s">
        <v>56</v>
      </c>
      <c r="C296" t="s">
        <v>57</v>
      </c>
      <c r="D296" s="23" t="s">
        <v>60</v>
      </c>
      <c r="E296" s="13" t="s">
        <v>61</v>
      </c>
      <c r="F296" s="13"/>
      <c r="G296" s="27">
        <v>0</v>
      </c>
      <c r="H296" s="27">
        <v>0</v>
      </c>
      <c r="I296" s="27">
        <v>0</v>
      </c>
      <c r="J296" s="27">
        <v>0</v>
      </c>
      <c r="K296" s="27">
        <v>0</v>
      </c>
      <c r="L296" s="27">
        <v>0</v>
      </c>
      <c r="M296" s="27">
        <v>0</v>
      </c>
      <c r="N296" s="27">
        <v>0</v>
      </c>
      <c r="O296" s="27">
        <v>0</v>
      </c>
    </row>
    <row r="297" spans="1:42" x14ac:dyDescent="0.25">
      <c r="A297" s="1" t="s">
        <v>149</v>
      </c>
      <c r="B297" t="s">
        <v>56</v>
      </c>
      <c r="C297" t="s">
        <v>57</v>
      </c>
      <c r="D297" s="23" t="s">
        <v>62</v>
      </c>
      <c r="E297" s="13" t="s">
        <v>63</v>
      </c>
      <c r="F297" s="13"/>
      <c r="G297" s="27">
        <v>0</v>
      </c>
      <c r="H297" s="27">
        <v>0</v>
      </c>
      <c r="I297" s="27">
        <v>0</v>
      </c>
      <c r="J297" s="27">
        <v>1</v>
      </c>
      <c r="K297" s="27">
        <v>0</v>
      </c>
      <c r="L297" s="27">
        <v>0</v>
      </c>
      <c r="M297" s="27">
        <v>0</v>
      </c>
      <c r="N297" s="27">
        <v>0</v>
      </c>
      <c r="O297" s="27">
        <v>0</v>
      </c>
    </row>
    <row r="298" spans="1:42" x14ac:dyDescent="0.25">
      <c r="A298" s="1" t="s">
        <v>149</v>
      </c>
      <c r="B298" t="s">
        <v>56</v>
      </c>
      <c r="C298" t="s">
        <v>57</v>
      </c>
      <c r="D298" s="22" t="s">
        <v>64</v>
      </c>
      <c r="E298" s="2" t="s">
        <v>65</v>
      </c>
      <c r="F298" s="2"/>
      <c r="G298" s="27" t="s">
        <v>66</v>
      </c>
      <c r="H298" s="27" t="s">
        <v>66</v>
      </c>
      <c r="I298" s="27" t="s">
        <v>66</v>
      </c>
      <c r="J298" s="27" t="s">
        <v>150</v>
      </c>
      <c r="K298" s="27" t="s">
        <v>66</v>
      </c>
      <c r="L298" s="27" t="s">
        <v>66</v>
      </c>
      <c r="M298" s="27" t="s">
        <v>66</v>
      </c>
      <c r="N298" s="27" t="s">
        <v>66</v>
      </c>
      <c r="O298" s="27" t="s">
        <v>66</v>
      </c>
    </row>
    <row r="299" spans="1:42" x14ac:dyDescent="0.25">
      <c r="A299" s="1" t="s">
        <v>149</v>
      </c>
      <c r="B299" t="s">
        <v>9</v>
      </c>
      <c r="C299" t="s">
        <v>67</v>
      </c>
      <c r="D299" s="22" t="s">
        <v>68</v>
      </c>
      <c r="E299" s="2" t="s">
        <v>69</v>
      </c>
      <c r="F299" s="2"/>
      <c r="G299" s="27">
        <v>7</v>
      </c>
      <c r="H299" s="27">
        <v>0</v>
      </c>
      <c r="I299" s="27">
        <v>2</v>
      </c>
      <c r="J299" s="27">
        <v>1</v>
      </c>
      <c r="K299" s="27">
        <v>1</v>
      </c>
      <c r="L299" s="27">
        <v>2</v>
      </c>
      <c r="M299" s="27">
        <v>4</v>
      </c>
      <c r="N299" s="27">
        <v>7</v>
      </c>
      <c r="O299" s="27">
        <v>7</v>
      </c>
    </row>
    <row r="300" spans="1:42" x14ac:dyDescent="0.25">
      <c r="A300" s="1" t="s">
        <v>149</v>
      </c>
      <c r="B300" t="s">
        <v>9</v>
      </c>
      <c r="C300" t="s">
        <v>67</v>
      </c>
      <c r="D300" s="22" t="s">
        <v>70</v>
      </c>
      <c r="E300" s="2" t="s">
        <v>69</v>
      </c>
      <c r="F300" s="2"/>
      <c r="G300" s="27">
        <v>9</v>
      </c>
      <c r="H300" s="27">
        <v>1</v>
      </c>
      <c r="I300" s="27">
        <v>1</v>
      </c>
      <c r="J300" s="27">
        <v>4</v>
      </c>
      <c r="K300" s="27">
        <v>0</v>
      </c>
      <c r="L300" s="27">
        <v>3</v>
      </c>
      <c r="M300" s="27">
        <v>2</v>
      </c>
      <c r="N300" s="27">
        <v>6</v>
      </c>
      <c r="O300" s="27">
        <v>7</v>
      </c>
    </row>
    <row r="301" spans="1:42" x14ac:dyDescent="0.25">
      <c r="A301" s="1" t="s">
        <v>149</v>
      </c>
      <c r="B301" t="s">
        <v>9</v>
      </c>
      <c r="C301" t="s">
        <v>71</v>
      </c>
      <c r="D301" s="20" t="s">
        <v>10</v>
      </c>
      <c r="E301" s="2" t="s">
        <v>11</v>
      </c>
      <c r="F301" s="2"/>
      <c r="G301" s="35"/>
      <c r="H301" s="35"/>
      <c r="I301" s="35"/>
      <c r="J301" s="35"/>
      <c r="K301" s="35"/>
      <c r="L301" s="35"/>
      <c r="M301" s="35"/>
      <c r="N301" s="35"/>
      <c r="O301" s="35"/>
    </row>
    <row r="302" spans="1:42" x14ac:dyDescent="0.25">
      <c r="A302" s="1" t="s">
        <v>149</v>
      </c>
      <c r="B302" t="s">
        <v>9</v>
      </c>
      <c r="C302" t="s">
        <v>71</v>
      </c>
      <c r="D302" s="20" t="s">
        <v>72</v>
      </c>
      <c r="E302" s="2" t="s">
        <v>73</v>
      </c>
      <c r="F302" s="2"/>
      <c r="G302" s="35"/>
      <c r="H302" s="35"/>
      <c r="I302" s="35"/>
      <c r="J302" s="35"/>
      <c r="K302" s="35"/>
      <c r="L302" s="35"/>
      <c r="M302" s="35"/>
      <c r="N302" s="35"/>
      <c r="O302" s="35"/>
    </row>
    <row r="303" spans="1:42" x14ac:dyDescent="0.25">
      <c r="A303" s="1" t="s">
        <v>149</v>
      </c>
      <c r="B303" t="s">
        <v>9</v>
      </c>
      <c r="C303" t="s">
        <v>71</v>
      </c>
      <c r="D303" s="20" t="s">
        <v>74</v>
      </c>
      <c r="E303" s="2" t="s">
        <v>71</v>
      </c>
      <c r="F303" s="2"/>
      <c r="G303" s="35"/>
      <c r="H303" s="35"/>
      <c r="I303" s="35"/>
      <c r="J303" s="35"/>
      <c r="K303" s="35"/>
      <c r="L303" s="35"/>
      <c r="M303" s="35"/>
      <c r="N303" s="35"/>
      <c r="O303" s="35"/>
    </row>
    <row r="304" spans="1:42" x14ac:dyDescent="0.25">
      <c r="A304" s="1" t="s">
        <v>149</v>
      </c>
      <c r="B304" t="s">
        <v>9</v>
      </c>
      <c r="C304" t="s">
        <v>71</v>
      </c>
      <c r="D304" s="20" t="s">
        <v>75</v>
      </c>
      <c r="E304" s="2" t="s">
        <v>71</v>
      </c>
      <c r="F304" s="2"/>
      <c r="G304" s="35"/>
      <c r="H304" s="35"/>
      <c r="I304" s="35"/>
      <c r="J304" s="35"/>
      <c r="K304" s="35"/>
      <c r="L304" s="35"/>
      <c r="M304" s="35"/>
      <c r="N304" s="35"/>
      <c r="O304" s="35"/>
    </row>
    <row r="305" spans="1:15" x14ac:dyDescent="0.25">
      <c r="A305" s="1" t="s">
        <v>149</v>
      </c>
      <c r="B305" t="s">
        <v>76</v>
      </c>
      <c r="C305" t="s">
        <v>67</v>
      </c>
      <c r="D305" s="22" t="s">
        <v>77</v>
      </c>
      <c r="E305" s="2" t="s">
        <v>78</v>
      </c>
      <c r="F305" s="2"/>
      <c r="G305" s="32">
        <v>0</v>
      </c>
      <c r="H305" s="33">
        <v>0.111</v>
      </c>
      <c r="I305" s="33">
        <v>1</v>
      </c>
      <c r="J305" s="33">
        <v>0.16700000000000001</v>
      </c>
      <c r="K305" s="33">
        <v>0.33</v>
      </c>
      <c r="L305" s="33">
        <v>1</v>
      </c>
      <c r="M305" s="33">
        <v>0.222</v>
      </c>
      <c r="N305" s="32">
        <v>0.44400000000000001</v>
      </c>
      <c r="O305" s="33">
        <v>1</v>
      </c>
    </row>
    <row r="306" spans="1:15" x14ac:dyDescent="0.25">
      <c r="A306" s="1" t="s">
        <v>149</v>
      </c>
      <c r="B306" t="s">
        <v>76</v>
      </c>
      <c r="C306" t="s">
        <v>47</v>
      </c>
      <c r="D306" s="22" t="s">
        <v>79</v>
      </c>
      <c r="E306" s="2" t="s">
        <v>80</v>
      </c>
      <c r="F306" s="2"/>
      <c r="G306" s="36">
        <v>0.39</v>
      </c>
      <c r="H306" s="33">
        <v>0.67</v>
      </c>
      <c r="I306" s="33">
        <v>0.77</v>
      </c>
      <c r="J306" s="33">
        <v>0.69</v>
      </c>
      <c r="K306" s="33">
        <v>0.71</v>
      </c>
      <c r="L306" s="33">
        <v>0.94</v>
      </c>
      <c r="M306" s="33">
        <v>0.94</v>
      </c>
      <c r="N306" s="33">
        <v>0.68</v>
      </c>
      <c r="O306" s="33">
        <v>0.61</v>
      </c>
    </row>
    <row r="307" spans="1:15" x14ac:dyDescent="0.25">
      <c r="A307" s="1" t="s">
        <v>149</v>
      </c>
      <c r="B307" t="s">
        <v>76</v>
      </c>
      <c r="C307" t="s">
        <v>47</v>
      </c>
      <c r="D307" s="22" t="s">
        <v>81</v>
      </c>
      <c r="E307" s="2" t="s">
        <v>82</v>
      </c>
      <c r="F307" s="2"/>
      <c r="G307" s="32">
        <v>0.04</v>
      </c>
      <c r="H307" s="33">
        <v>0.17</v>
      </c>
      <c r="I307" s="33">
        <v>0.04</v>
      </c>
      <c r="J307" s="33">
        <v>0</v>
      </c>
      <c r="K307" s="33">
        <v>0</v>
      </c>
      <c r="L307" s="33">
        <v>0</v>
      </c>
      <c r="M307" s="33">
        <v>0</v>
      </c>
      <c r="N307" s="33">
        <v>0.01</v>
      </c>
      <c r="O307" s="33">
        <v>0</v>
      </c>
    </row>
    <row r="308" spans="1:15" x14ac:dyDescent="0.25">
      <c r="A308" s="1" t="s">
        <v>149</v>
      </c>
      <c r="B308" t="s">
        <v>76</v>
      </c>
      <c r="C308" t="s">
        <v>47</v>
      </c>
      <c r="D308" s="22" t="s">
        <v>83</v>
      </c>
      <c r="E308" s="2" t="s">
        <v>84</v>
      </c>
      <c r="F308" s="2"/>
      <c r="G308" s="36">
        <v>0.56999999999999995</v>
      </c>
      <c r="H308" s="33">
        <v>0.16</v>
      </c>
      <c r="I308" s="33">
        <v>0.19</v>
      </c>
      <c r="J308" s="33">
        <v>0.31</v>
      </c>
      <c r="K308" s="33">
        <v>0.13</v>
      </c>
      <c r="L308" s="33">
        <v>0.06</v>
      </c>
      <c r="M308" s="33">
        <v>0.06</v>
      </c>
      <c r="N308" s="33">
        <v>0.19</v>
      </c>
      <c r="O308" s="33">
        <v>0.37</v>
      </c>
    </row>
    <row r="309" spans="1:15" x14ac:dyDescent="0.25">
      <c r="A309" s="1" t="s">
        <v>149</v>
      </c>
      <c r="B309" t="s">
        <v>76</v>
      </c>
      <c r="C309" t="s">
        <v>47</v>
      </c>
      <c r="D309" s="22" t="s">
        <v>85</v>
      </c>
      <c r="E309" s="2" t="s">
        <v>66</v>
      </c>
      <c r="F309" s="2"/>
      <c r="G309" s="32">
        <v>0</v>
      </c>
      <c r="H309" s="33">
        <v>0</v>
      </c>
      <c r="I309" s="33">
        <v>0</v>
      </c>
      <c r="J309" s="33">
        <v>0</v>
      </c>
      <c r="K309" s="33">
        <v>0.16</v>
      </c>
      <c r="L309" s="33">
        <v>0</v>
      </c>
      <c r="M309" s="33">
        <v>0</v>
      </c>
      <c r="N309" s="33">
        <v>0.12</v>
      </c>
      <c r="O309" s="33">
        <v>0.02</v>
      </c>
    </row>
    <row r="310" spans="1:15" x14ac:dyDescent="0.25">
      <c r="A310" s="1" t="s">
        <v>149</v>
      </c>
      <c r="B310" t="s">
        <v>76</v>
      </c>
      <c r="C310" t="s">
        <v>71</v>
      </c>
      <c r="D310" s="20" t="s">
        <v>86</v>
      </c>
      <c r="E310" s="2" t="s">
        <v>87</v>
      </c>
      <c r="F310" s="2"/>
      <c r="G310" s="35"/>
      <c r="H310" s="35"/>
      <c r="I310" s="35"/>
      <c r="J310" s="35"/>
      <c r="K310" s="35"/>
      <c r="L310" s="35"/>
      <c r="M310" s="35"/>
      <c r="N310" s="35"/>
      <c r="O310" s="35"/>
    </row>
    <row r="311" spans="1:15" x14ac:dyDescent="0.25">
      <c r="A311" s="1" t="s">
        <v>149</v>
      </c>
      <c r="B311" t="s">
        <v>76</v>
      </c>
      <c r="C311" t="s">
        <v>71</v>
      </c>
      <c r="D311" s="20" t="s">
        <v>89</v>
      </c>
      <c r="E311" s="2" t="s">
        <v>90</v>
      </c>
      <c r="F311" s="2"/>
      <c r="G311" s="35"/>
      <c r="H311" s="35"/>
      <c r="I311" s="35"/>
      <c r="J311" s="35"/>
      <c r="K311" s="35"/>
      <c r="L311" s="35"/>
      <c r="M311" s="35"/>
      <c r="N311" s="35"/>
      <c r="O311" s="35"/>
    </row>
    <row r="312" spans="1:15" x14ac:dyDescent="0.25">
      <c r="A312" s="1" t="s">
        <v>149</v>
      </c>
      <c r="B312" t="s">
        <v>91</v>
      </c>
      <c r="C312" t="s">
        <v>47</v>
      </c>
      <c r="D312" s="15" t="s">
        <v>92</v>
      </c>
      <c r="E312" s="2" t="s">
        <v>93</v>
      </c>
      <c r="F312" s="2"/>
      <c r="G312" s="31">
        <v>77</v>
      </c>
      <c r="H312" s="31">
        <v>77</v>
      </c>
      <c r="I312" s="31">
        <v>77</v>
      </c>
      <c r="J312" s="31">
        <v>74</v>
      </c>
      <c r="K312" s="31">
        <v>74</v>
      </c>
      <c r="L312" s="31">
        <v>77</v>
      </c>
      <c r="M312" s="31">
        <v>77</v>
      </c>
      <c r="N312" s="31">
        <v>77</v>
      </c>
      <c r="O312" s="31">
        <v>86</v>
      </c>
    </row>
    <row r="313" spans="1:15" x14ac:dyDescent="0.25">
      <c r="A313" s="1" t="s">
        <v>149</v>
      </c>
      <c r="B313" t="s">
        <v>91</v>
      </c>
      <c r="C313" t="s">
        <v>47</v>
      </c>
      <c r="D313" s="15" t="s">
        <v>94</v>
      </c>
      <c r="E313" s="2" t="s">
        <v>71</v>
      </c>
      <c r="F313" s="2"/>
      <c r="G313" s="31">
        <v>69</v>
      </c>
      <c r="H313" s="31">
        <v>69</v>
      </c>
      <c r="I313" s="31">
        <v>69</v>
      </c>
      <c r="J313" s="31">
        <v>55</v>
      </c>
      <c r="K313" s="31">
        <v>55</v>
      </c>
      <c r="L313" s="31">
        <v>54</v>
      </c>
      <c r="M313" s="31">
        <v>54</v>
      </c>
      <c r="N313" s="31">
        <v>54</v>
      </c>
      <c r="O313" s="31">
        <v>92</v>
      </c>
    </row>
    <row r="314" spans="1:15" x14ac:dyDescent="0.25">
      <c r="A314" s="1" t="s">
        <v>149</v>
      </c>
      <c r="B314" t="s">
        <v>91</v>
      </c>
      <c r="C314" t="s">
        <v>47</v>
      </c>
      <c r="D314" s="15" t="s">
        <v>95</v>
      </c>
      <c r="E314" s="2" t="s">
        <v>96</v>
      </c>
      <c r="F314" s="2"/>
      <c r="G314" s="31">
        <v>75</v>
      </c>
      <c r="H314" s="31">
        <v>75</v>
      </c>
      <c r="I314" s="31">
        <v>75</v>
      </c>
      <c r="J314" s="31">
        <v>70</v>
      </c>
      <c r="K314" s="31">
        <v>70</v>
      </c>
      <c r="L314" s="31">
        <v>56</v>
      </c>
      <c r="M314" s="31">
        <v>56</v>
      </c>
      <c r="N314" s="31">
        <v>56</v>
      </c>
      <c r="O314" s="31">
        <v>83</v>
      </c>
    </row>
    <row r="315" spans="1:15" x14ac:dyDescent="0.25">
      <c r="A315" s="1" t="s">
        <v>149</v>
      </c>
      <c r="B315" t="s">
        <v>91</v>
      </c>
      <c r="C315" t="s">
        <v>47</v>
      </c>
      <c r="D315" s="15" t="s">
        <v>97</v>
      </c>
      <c r="E315" s="2" t="s">
        <v>98</v>
      </c>
      <c r="F315" s="2"/>
      <c r="G315" s="31">
        <v>62</v>
      </c>
      <c r="H315" s="31">
        <v>62</v>
      </c>
      <c r="I315" s="31">
        <v>62</v>
      </c>
      <c r="J315" s="31">
        <v>68</v>
      </c>
      <c r="K315" s="31">
        <v>68</v>
      </c>
      <c r="L315" s="31">
        <v>66</v>
      </c>
      <c r="M315" s="31">
        <v>66</v>
      </c>
      <c r="N315" s="31">
        <v>66</v>
      </c>
      <c r="O315" s="31">
        <v>75</v>
      </c>
    </row>
    <row r="316" spans="1:15" x14ac:dyDescent="0.25">
      <c r="A316" s="1" t="s">
        <v>149</v>
      </c>
      <c r="B316" t="s">
        <v>91</v>
      </c>
      <c r="C316" t="s">
        <v>71</v>
      </c>
      <c r="D316" s="20" t="s">
        <v>99</v>
      </c>
      <c r="E316" s="2" t="s">
        <v>100</v>
      </c>
      <c r="F316" s="2"/>
      <c r="G316" s="35"/>
      <c r="H316" s="35"/>
      <c r="I316" s="35"/>
      <c r="J316" s="35"/>
      <c r="K316" s="35"/>
      <c r="L316" s="35"/>
      <c r="M316" s="35"/>
      <c r="N316" s="35"/>
      <c r="O316" s="35"/>
    </row>
    <row r="317" spans="1:15" x14ac:dyDescent="0.25">
      <c r="A317" s="1" t="s">
        <v>149</v>
      </c>
      <c r="B317" t="s">
        <v>91</v>
      </c>
      <c r="C317" t="s">
        <v>71</v>
      </c>
      <c r="D317" s="25" t="s">
        <v>101</v>
      </c>
      <c r="E317" s="2" t="s">
        <v>71</v>
      </c>
      <c r="F317" s="2"/>
      <c r="G317" s="27">
        <v>0</v>
      </c>
      <c r="O317" s="27"/>
    </row>
    <row r="318" spans="1:15" x14ac:dyDescent="0.25">
      <c r="A318" s="1" t="s">
        <v>149</v>
      </c>
      <c r="B318" t="s">
        <v>102</v>
      </c>
      <c r="C318" t="s">
        <v>47</v>
      </c>
      <c r="D318" s="22" t="s">
        <v>103</v>
      </c>
      <c r="E318" s="2" t="s">
        <v>66</v>
      </c>
      <c r="F318" s="2"/>
      <c r="G318" s="27">
        <v>16</v>
      </c>
      <c r="H318" s="27">
        <v>11</v>
      </c>
      <c r="I318" s="27">
        <v>11</v>
      </c>
      <c r="J318" s="27">
        <v>10</v>
      </c>
      <c r="K318" s="27">
        <v>11</v>
      </c>
      <c r="L318" s="27">
        <v>14</v>
      </c>
      <c r="M318" s="27">
        <v>19</v>
      </c>
      <c r="N318" s="27">
        <v>13</v>
      </c>
      <c r="O318" s="27">
        <v>12</v>
      </c>
    </row>
    <row r="319" spans="1:15" x14ac:dyDescent="0.25">
      <c r="A319" s="1" t="s">
        <v>149</v>
      </c>
      <c r="B319" t="s">
        <v>102</v>
      </c>
      <c r="C319" t="s">
        <v>47</v>
      </c>
      <c r="D319" s="22" t="s">
        <v>104</v>
      </c>
      <c r="E319" s="2" t="s">
        <v>66</v>
      </c>
      <c r="F319" s="2"/>
      <c r="G319" s="27">
        <v>2.31</v>
      </c>
      <c r="H319" s="27">
        <v>1.72</v>
      </c>
      <c r="I319" s="27">
        <v>2.5</v>
      </c>
      <c r="J319" s="27">
        <v>1.49</v>
      </c>
      <c r="K319" s="27">
        <v>1.31</v>
      </c>
      <c r="L319" s="27">
        <v>1.69</v>
      </c>
      <c r="M319" s="27">
        <v>2.81</v>
      </c>
      <c r="N319" s="27">
        <v>1.37</v>
      </c>
      <c r="O319" s="27">
        <v>1.74</v>
      </c>
    </row>
    <row r="320" spans="1:15" x14ac:dyDescent="0.25">
      <c r="A320" s="1" t="s">
        <v>149</v>
      </c>
      <c r="B320" t="s">
        <v>102</v>
      </c>
      <c r="C320" t="s">
        <v>47</v>
      </c>
      <c r="D320" s="22" t="s">
        <v>105</v>
      </c>
      <c r="E320" s="2" t="s">
        <v>66</v>
      </c>
      <c r="F320" s="2"/>
      <c r="G320" s="27">
        <v>16</v>
      </c>
      <c r="H320" s="27">
        <v>10</v>
      </c>
      <c r="I320" s="27">
        <v>11</v>
      </c>
      <c r="J320" s="27">
        <v>10</v>
      </c>
      <c r="K320" s="27">
        <v>10</v>
      </c>
      <c r="L320" s="27">
        <v>14</v>
      </c>
      <c r="M320" s="27">
        <v>17</v>
      </c>
      <c r="N320" s="27">
        <v>12</v>
      </c>
      <c r="O320" s="27">
        <v>10</v>
      </c>
    </row>
    <row r="321" spans="1:77" x14ac:dyDescent="0.25">
      <c r="A321" s="1" t="s">
        <v>149</v>
      </c>
      <c r="B321" t="s">
        <v>102</v>
      </c>
      <c r="C321" t="s">
        <v>47</v>
      </c>
      <c r="D321" s="22" t="s">
        <v>106</v>
      </c>
      <c r="E321" s="2" t="s">
        <v>66</v>
      </c>
      <c r="F321" s="2"/>
      <c r="G321" s="27">
        <v>2.41</v>
      </c>
      <c r="H321" s="27">
        <v>1.61</v>
      </c>
      <c r="I321" s="27">
        <v>2.17</v>
      </c>
      <c r="J321" s="27">
        <v>1.54</v>
      </c>
      <c r="K321" s="27">
        <v>1.25</v>
      </c>
      <c r="L321" s="27">
        <v>1.72</v>
      </c>
      <c r="M321" s="27">
        <v>2.7</v>
      </c>
      <c r="N321" s="27">
        <v>1.41</v>
      </c>
      <c r="O321" s="27">
        <v>1.67</v>
      </c>
    </row>
    <row r="322" spans="1:77" x14ac:dyDescent="0.25">
      <c r="A322" s="1" t="s">
        <v>149</v>
      </c>
      <c r="B322" t="s">
        <v>102</v>
      </c>
      <c r="C322" t="s">
        <v>47</v>
      </c>
      <c r="D322" s="22" t="s">
        <v>107</v>
      </c>
      <c r="E322" s="2" t="s">
        <v>66</v>
      </c>
      <c r="F322" s="2"/>
      <c r="G322" s="27">
        <v>15</v>
      </c>
      <c r="H322" s="27">
        <v>23</v>
      </c>
      <c r="I322" s="27">
        <v>13.5</v>
      </c>
      <c r="J322" s="27">
        <v>23</v>
      </c>
      <c r="K322" s="27">
        <v>15</v>
      </c>
      <c r="L322" s="27">
        <v>48.5</v>
      </c>
      <c r="M322" s="27">
        <v>42</v>
      </c>
      <c r="N322" s="27">
        <v>31</v>
      </c>
      <c r="O322" s="27">
        <v>33</v>
      </c>
    </row>
    <row r="323" spans="1:77" x14ac:dyDescent="0.25">
      <c r="A323" s="1" t="s">
        <v>149</v>
      </c>
      <c r="B323" t="s">
        <v>102</v>
      </c>
      <c r="C323" t="s">
        <v>47</v>
      </c>
      <c r="D323" s="22" t="s">
        <v>108</v>
      </c>
      <c r="E323" s="2" t="s">
        <v>66</v>
      </c>
      <c r="F323" s="2"/>
      <c r="G323" s="27">
        <v>2.35</v>
      </c>
      <c r="H323" s="27">
        <v>3.11</v>
      </c>
      <c r="I323" s="27">
        <v>3.75</v>
      </c>
      <c r="J323" s="27">
        <v>3.65</v>
      </c>
      <c r="K323" s="27">
        <v>4</v>
      </c>
      <c r="L323" s="27">
        <v>5.45</v>
      </c>
      <c r="M323" s="27">
        <v>6.07</v>
      </c>
      <c r="N323" s="27">
        <v>4.01</v>
      </c>
      <c r="O323" s="27">
        <v>4.6399999999999997</v>
      </c>
    </row>
    <row r="324" spans="1:77" ht="147" x14ac:dyDescent="0.25">
      <c r="A324" s="1" t="s">
        <v>149</v>
      </c>
      <c r="B324" t="s">
        <v>66</v>
      </c>
      <c r="C324" t="s">
        <v>66</v>
      </c>
      <c r="D324" s="22" t="s">
        <v>112</v>
      </c>
      <c r="E324" s="2" t="s">
        <v>66</v>
      </c>
      <c r="F324" s="2"/>
      <c r="G324" s="12"/>
      <c r="H324" s="12"/>
      <c r="I324" s="87"/>
      <c r="J324" s="87"/>
      <c r="K324" s="87"/>
      <c r="L324" s="87"/>
      <c r="M324" s="87"/>
      <c r="N324" s="43" t="s">
        <v>151</v>
      </c>
      <c r="O324" s="43" t="s">
        <v>152</v>
      </c>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row>
    <row r="325" spans="1:77" ht="135.75" x14ac:dyDescent="0.25">
      <c r="A325" s="1" t="s">
        <v>149</v>
      </c>
      <c r="B325" t="s">
        <v>66</v>
      </c>
      <c r="C325" t="s">
        <v>66</v>
      </c>
      <c r="D325" s="22" t="s">
        <v>115</v>
      </c>
      <c r="E325" s="2" t="s">
        <v>66</v>
      </c>
      <c r="F325" s="2"/>
      <c r="G325" s="12"/>
      <c r="H325" s="12"/>
      <c r="I325" s="87"/>
      <c r="J325" s="87"/>
      <c r="K325" s="87"/>
      <c r="L325" s="87"/>
      <c r="M325" s="87"/>
      <c r="N325" s="43" t="s">
        <v>153</v>
      </c>
      <c r="O325" s="43" t="s">
        <v>154</v>
      </c>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row>
    <row r="326" spans="1:77" ht="214.5" x14ac:dyDescent="0.25">
      <c r="A326" s="1" t="s">
        <v>149</v>
      </c>
      <c r="B326" t="s">
        <v>66</v>
      </c>
      <c r="C326" t="s">
        <v>66</v>
      </c>
      <c r="D326" s="22" t="s">
        <v>118</v>
      </c>
      <c r="E326" s="2" t="s">
        <v>66</v>
      </c>
      <c r="F326" s="2"/>
      <c r="G326" s="12"/>
      <c r="H326" s="12"/>
      <c r="I326" s="87"/>
      <c r="J326" s="87"/>
      <c r="K326" s="87"/>
      <c r="L326" s="87"/>
      <c r="M326" s="87"/>
      <c r="N326" s="43" t="s">
        <v>155</v>
      </c>
      <c r="O326" s="43" t="s">
        <v>156</v>
      </c>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row>
    <row r="327" spans="1:77" ht="203.25" x14ac:dyDescent="0.25">
      <c r="A327" s="1" t="s">
        <v>149</v>
      </c>
      <c r="B327" s="17" t="s">
        <v>66</v>
      </c>
      <c r="C327" s="17" t="s">
        <v>66</v>
      </c>
      <c r="D327" s="17" t="s">
        <v>138</v>
      </c>
      <c r="E327" s="18" t="s">
        <v>66</v>
      </c>
      <c r="F327" s="2"/>
      <c r="H327" s="43" t="s">
        <v>157</v>
      </c>
      <c r="I327" s="43"/>
      <c r="J327" s="43"/>
    </row>
  </sheetData>
  <autoFilter ref="A1:G323" xr:uid="{8929F3CE-5088-419D-86D9-C7BC06DF3FB5}"/>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F9BF-C06F-C048-8519-861F3556F250}">
  <dimension ref="A1:AF184"/>
  <sheetViews>
    <sheetView zoomScale="95" zoomScaleNormal="95" workbookViewId="0">
      <pane xSplit="5" topLeftCell="U1" activePane="topRight" state="frozen"/>
      <selection pane="topRight" activeCell="Y1" sqref="Y1"/>
    </sheetView>
  </sheetViews>
  <sheetFormatPr defaultColWidth="11" defaultRowHeight="15.75" customHeight="1" x14ac:dyDescent="0.25"/>
  <cols>
    <col min="1" max="1" width="24.5" customWidth="1"/>
    <col min="2" max="2" width="21.625" customWidth="1"/>
    <col min="3" max="3" width="13.875" customWidth="1"/>
    <col min="4" max="4" width="31" customWidth="1"/>
    <col min="5" max="5" width="14.875" customWidth="1"/>
    <col min="6" max="8" width="14.5" customWidth="1"/>
    <col min="9" max="9" width="13" customWidth="1"/>
    <col min="10" max="10" width="16.375" customWidth="1"/>
    <col min="11" max="11" width="12.875" customWidth="1"/>
    <col min="14" max="14" width="11.5" bestFit="1" customWidth="1"/>
    <col min="17" max="17" width="10.875" style="59" customWidth="1"/>
    <col min="18" max="18" width="13.75" customWidth="1"/>
    <col min="20" max="20" width="13" customWidth="1"/>
    <col min="21" max="21" width="13.75" customWidth="1"/>
    <col min="22" max="22" width="13.125" customWidth="1"/>
  </cols>
  <sheetData>
    <row r="1" spans="1:25" x14ac:dyDescent="0.25">
      <c r="A1" s="19" t="s">
        <v>0</v>
      </c>
      <c r="B1" s="19" t="s">
        <v>1</v>
      </c>
      <c r="C1" s="19" t="s">
        <v>31</v>
      </c>
      <c r="D1" s="19" t="s">
        <v>2</v>
      </c>
      <c r="E1" s="19" t="s">
        <v>32</v>
      </c>
      <c r="F1" s="16" t="s">
        <v>158</v>
      </c>
      <c r="G1" s="16" t="s">
        <v>159</v>
      </c>
      <c r="H1" s="16" t="s">
        <v>160</v>
      </c>
      <c r="I1" s="16" t="s">
        <v>161</v>
      </c>
      <c r="J1" s="16" t="s">
        <v>162</v>
      </c>
      <c r="K1" s="16" t="s">
        <v>163</v>
      </c>
      <c r="L1" s="16"/>
      <c r="M1" s="16" t="s">
        <v>164</v>
      </c>
      <c r="N1" s="16" t="s">
        <v>165</v>
      </c>
      <c r="O1" s="16" t="s">
        <v>166</v>
      </c>
      <c r="P1" s="16" t="s">
        <v>167</v>
      </c>
      <c r="Q1" s="16" t="s">
        <v>168</v>
      </c>
      <c r="R1" s="19" t="s">
        <v>169</v>
      </c>
      <c r="S1" s="19" t="s">
        <v>170</v>
      </c>
      <c r="T1" s="19" t="s">
        <v>171</v>
      </c>
      <c r="U1" s="78" t="s">
        <v>172</v>
      </c>
      <c r="V1" s="78" t="s">
        <v>173</v>
      </c>
      <c r="W1" s="78" t="s">
        <v>174</v>
      </c>
      <c r="X1" s="78" t="s">
        <v>175</v>
      </c>
      <c r="Y1" s="78" t="s">
        <v>176</v>
      </c>
    </row>
    <row r="2" spans="1:25" x14ac:dyDescent="0.25">
      <c r="A2" s="1" t="s">
        <v>131</v>
      </c>
      <c r="B2" t="s">
        <v>46</v>
      </c>
      <c r="C2" t="s">
        <v>47</v>
      </c>
      <c r="D2" s="22" t="s">
        <v>48</v>
      </c>
      <c r="E2" s="2" t="s">
        <v>49</v>
      </c>
      <c r="F2">
        <v>57.5</v>
      </c>
      <c r="G2">
        <v>62.1</v>
      </c>
      <c r="J2">
        <v>76.900000000000006</v>
      </c>
      <c r="K2">
        <v>53.5</v>
      </c>
      <c r="M2">
        <v>92.2</v>
      </c>
      <c r="N2">
        <v>71.2</v>
      </c>
      <c r="O2">
        <v>71.7</v>
      </c>
      <c r="P2">
        <v>65.3</v>
      </c>
      <c r="Q2">
        <v>77</v>
      </c>
      <c r="R2" s="59">
        <v>53.5</v>
      </c>
      <c r="S2">
        <v>80.599999999999994</v>
      </c>
      <c r="T2">
        <v>64.2</v>
      </c>
      <c r="U2">
        <v>63.2</v>
      </c>
      <c r="V2">
        <v>67.400000000000006</v>
      </c>
      <c r="W2">
        <v>51.2</v>
      </c>
      <c r="X2">
        <v>87.7</v>
      </c>
    </row>
    <row r="3" spans="1:25" x14ac:dyDescent="0.25">
      <c r="A3" s="1" t="s">
        <v>131</v>
      </c>
      <c r="B3" t="s">
        <v>46</v>
      </c>
      <c r="C3" t="s">
        <v>47</v>
      </c>
      <c r="D3" s="22" t="s">
        <v>50</v>
      </c>
      <c r="E3" s="2" t="s">
        <v>51</v>
      </c>
      <c r="F3">
        <v>5.32</v>
      </c>
      <c r="G3">
        <v>6.69</v>
      </c>
      <c r="J3">
        <v>6.77</v>
      </c>
      <c r="K3">
        <v>3.75</v>
      </c>
      <c r="M3">
        <v>7.3</v>
      </c>
      <c r="N3">
        <v>6.4</v>
      </c>
      <c r="O3">
        <v>4.8499999999999996</v>
      </c>
      <c r="P3">
        <v>4.09</v>
      </c>
      <c r="Q3">
        <v>4.18</v>
      </c>
      <c r="R3" s="59">
        <v>4.83</v>
      </c>
      <c r="S3">
        <v>7.15</v>
      </c>
      <c r="T3">
        <v>7.16</v>
      </c>
      <c r="U3">
        <v>4.6399999999999997</v>
      </c>
      <c r="V3">
        <v>3.79</v>
      </c>
      <c r="W3">
        <v>2.97</v>
      </c>
      <c r="X3">
        <v>4.5</v>
      </c>
    </row>
    <row r="4" spans="1:25" x14ac:dyDescent="0.25">
      <c r="A4" s="1" t="s">
        <v>131</v>
      </c>
      <c r="B4" t="s">
        <v>46</v>
      </c>
      <c r="C4" t="s">
        <v>47</v>
      </c>
      <c r="D4" s="22" t="s">
        <v>52</v>
      </c>
      <c r="E4" s="2" t="s">
        <v>53</v>
      </c>
      <c r="F4">
        <v>26.5</v>
      </c>
      <c r="G4">
        <v>18.5</v>
      </c>
      <c r="J4">
        <v>32</v>
      </c>
      <c r="K4">
        <v>35</v>
      </c>
      <c r="M4">
        <v>47</v>
      </c>
      <c r="N4">
        <v>64</v>
      </c>
      <c r="O4">
        <v>72</v>
      </c>
      <c r="P4">
        <v>29</v>
      </c>
      <c r="Q4">
        <v>43</v>
      </c>
      <c r="R4" s="59">
        <v>39</v>
      </c>
      <c r="S4">
        <v>1</v>
      </c>
      <c r="T4">
        <v>6</v>
      </c>
      <c r="U4">
        <v>3</v>
      </c>
      <c r="V4">
        <v>0</v>
      </c>
      <c r="W4">
        <v>0</v>
      </c>
      <c r="X4">
        <v>0</v>
      </c>
    </row>
    <row r="5" spans="1:25" x14ac:dyDescent="0.25">
      <c r="A5" s="1" t="s">
        <v>131</v>
      </c>
      <c r="B5" t="s">
        <v>46</v>
      </c>
      <c r="C5" t="s">
        <v>47</v>
      </c>
      <c r="D5" s="22" t="s">
        <v>54</v>
      </c>
      <c r="E5" s="2" t="s">
        <v>55</v>
      </c>
      <c r="F5">
        <v>0</v>
      </c>
      <c r="J5">
        <v>0</v>
      </c>
      <c r="K5">
        <v>0</v>
      </c>
      <c r="M5">
        <v>0</v>
      </c>
      <c r="N5">
        <v>0</v>
      </c>
      <c r="O5">
        <v>0</v>
      </c>
      <c r="P5">
        <v>0</v>
      </c>
      <c r="Q5">
        <v>0</v>
      </c>
      <c r="R5" s="59">
        <v>0</v>
      </c>
      <c r="S5">
        <v>0</v>
      </c>
      <c r="T5">
        <v>0</v>
      </c>
      <c r="U5">
        <v>0</v>
      </c>
      <c r="V5">
        <v>0</v>
      </c>
      <c r="W5">
        <v>0</v>
      </c>
      <c r="X5">
        <v>0</v>
      </c>
    </row>
    <row r="6" spans="1:25" x14ac:dyDescent="0.25">
      <c r="A6" s="1" t="s">
        <v>131</v>
      </c>
      <c r="B6" t="s">
        <v>56</v>
      </c>
      <c r="C6" t="s">
        <v>57</v>
      </c>
      <c r="D6" s="22" t="s">
        <v>58</v>
      </c>
      <c r="E6" s="13" t="s">
        <v>59</v>
      </c>
      <c r="F6">
        <v>0</v>
      </c>
      <c r="G6">
        <v>0</v>
      </c>
      <c r="J6">
        <v>0</v>
      </c>
      <c r="K6">
        <v>0</v>
      </c>
      <c r="M6">
        <v>0</v>
      </c>
      <c r="N6">
        <v>0</v>
      </c>
      <c r="O6">
        <v>0</v>
      </c>
      <c r="P6">
        <v>0</v>
      </c>
      <c r="Q6">
        <v>0</v>
      </c>
      <c r="R6" s="59">
        <v>0</v>
      </c>
      <c r="S6">
        <v>0</v>
      </c>
      <c r="T6">
        <v>0</v>
      </c>
      <c r="U6">
        <v>0</v>
      </c>
      <c r="V6">
        <v>0</v>
      </c>
      <c r="W6">
        <v>0</v>
      </c>
      <c r="X6">
        <v>0</v>
      </c>
    </row>
    <row r="7" spans="1:25" x14ac:dyDescent="0.25">
      <c r="A7" s="1" t="s">
        <v>131</v>
      </c>
      <c r="B7" t="s">
        <v>56</v>
      </c>
      <c r="C7" t="s">
        <v>57</v>
      </c>
      <c r="D7" s="23" t="s">
        <v>60</v>
      </c>
      <c r="E7" s="13" t="s">
        <v>61</v>
      </c>
      <c r="F7">
        <v>0</v>
      </c>
      <c r="G7">
        <v>0</v>
      </c>
      <c r="J7">
        <v>0</v>
      </c>
      <c r="K7">
        <v>0</v>
      </c>
      <c r="M7">
        <v>0</v>
      </c>
      <c r="N7">
        <v>0</v>
      </c>
      <c r="O7">
        <v>0</v>
      </c>
      <c r="P7">
        <v>0</v>
      </c>
      <c r="Q7">
        <v>0</v>
      </c>
      <c r="R7" s="59">
        <v>0</v>
      </c>
      <c r="S7">
        <v>0</v>
      </c>
      <c r="T7">
        <v>0</v>
      </c>
      <c r="U7">
        <v>0</v>
      </c>
      <c r="V7">
        <v>0</v>
      </c>
      <c r="W7">
        <v>0</v>
      </c>
      <c r="X7">
        <v>0</v>
      </c>
    </row>
    <row r="8" spans="1:25" x14ac:dyDescent="0.25">
      <c r="A8" s="1" t="s">
        <v>131</v>
      </c>
      <c r="B8" t="s">
        <v>56</v>
      </c>
      <c r="C8" t="s">
        <v>57</v>
      </c>
      <c r="D8" s="23" t="s">
        <v>62</v>
      </c>
      <c r="E8" s="13" t="s">
        <v>63</v>
      </c>
      <c r="F8">
        <v>0</v>
      </c>
      <c r="G8">
        <v>0</v>
      </c>
      <c r="J8">
        <v>0</v>
      </c>
      <c r="K8">
        <v>0</v>
      </c>
      <c r="M8">
        <v>0</v>
      </c>
      <c r="N8">
        <v>0</v>
      </c>
      <c r="O8">
        <v>0</v>
      </c>
      <c r="P8">
        <v>0</v>
      </c>
      <c r="Q8">
        <v>0</v>
      </c>
      <c r="R8" s="59">
        <v>0</v>
      </c>
      <c r="S8">
        <v>0</v>
      </c>
      <c r="T8">
        <v>0</v>
      </c>
      <c r="U8">
        <v>0</v>
      </c>
      <c r="V8">
        <v>0</v>
      </c>
      <c r="W8">
        <v>0</v>
      </c>
      <c r="X8">
        <v>0</v>
      </c>
    </row>
    <row r="9" spans="1:25" x14ac:dyDescent="0.25">
      <c r="A9" s="1" t="s">
        <v>131</v>
      </c>
      <c r="B9" t="s">
        <v>56</v>
      </c>
      <c r="C9" t="s">
        <v>57</v>
      </c>
      <c r="D9" s="22" t="s">
        <v>64</v>
      </c>
      <c r="E9" s="2" t="s">
        <v>65</v>
      </c>
      <c r="F9" t="s">
        <v>110</v>
      </c>
      <c r="G9" t="s">
        <v>110</v>
      </c>
      <c r="J9" t="s">
        <v>110</v>
      </c>
      <c r="K9" t="s">
        <v>110</v>
      </c>
      <c r="M9" t="s">
        <v>110</v>
      </c>
      <c r="N9" t="s">
        <v>110</v>
      </c>
      <c r="O9" t="s">
        <v>110</v>
      </c>
      <c r="P9" t="s">
        <v>110</v>
      </c>
      <c r="Q9" t="s">
        <v>110</v>
      </c>
      <c r="R9" s="59" t="s">
        <v>110</v>
      </c>
      <c r="S9" s="59" t="s">
        <v>110</v>
      </c>
      <c r="T9" s="59" t="s">
        <v>110</v>
      </c>
      <c r="U9" s="59" t="s">
        <v>110</v>
      </c>
      <c r="V9" s="59" t="s">
        <v>110</v>
      </c>
      <c r="W9" s="59" t="s">
        <v>110</v>
      </c>
      <c r="X9" s="59" t="s">
        <v>110</v>
      </c>
    </row>
    <row r="10" spans="1:25" x14ac:dyDescent="0.25">
      <c r="A10" s="1" t="s">
        <v>131</v>
      </c>
      <c r="B10" t="s">
        <v>9</v>
      </c>
      <c r="C10" t="s">
        <v>67</v>
      </c>
      <c r="D10" s="22" t="s">
        <v>68</v>
      </c>
      <c r="E10" s="2" t="s">
        <v>69</v>
      </c>
      <c r="J10">
        <v>2</v>
      </c>
      <c r="K10">
        <v>1</v>
      </c>
      <c r="M10">
        <v>1</v>
      </c>
      <c r="N10">
        <v>0</v>
      </c>
      <c r="O10">
        <v>0</v>
      </c>
      <c r="P10">
        <v>2</v>
      </c>
      <c r="Q10">
        <v>1</v>
      </c>
      <c r="R10" s="59">
        <v>3</v>
      </c>
      <c r="S10">
        <v>0</v>
      </c>
      <c r="T10">
        <v>2</v>
      </c>
      <c r="U10">
        <v>1</v>
      </c>
      <c r="V10">
        <v>2</v>
      </c>
      <c r="W10">
        <v>1</v>
      </c>
      <c r="X10">
        <v>4</v>
      </c>
    </row>
    <row r="11" spans="1:25" x14ac:dyDescent="0.25">
      <c r="A11" s="1" t="s">
        <v>131</v>
      </c>
      <c r="B11" t="s">
        <v>9</v>
      </c>
      <c r="C11" t="s">
        <v>67</v>
      </c>
      <c r="D11" s="22" t="s">
        <v>70</v>
      </c>
      <c r="E11" s="2" t="s">
        <v>69</v>
      </c>
      <c r="J11">
        <v>3</v>
      </c>
      <c r="K11">
        <v>0</v>
      </c>
      <c r="M11">
        <v>0</v>
      </c>
      <c r="N11">
        <v>0</v>
      </c>
      <c r="O11">
        <v>1</v>
      </c>
      <c r="P11">
        <v>2</v>
      </c>
      <c r="Q11">
        <v>0</v>
      </c>
      <c r="R11" s="59">
        <v>2</v>
      </c>
      <c r="S11">
        <v>1</v>
      </c>
      <c r="T11">
        <v>2</v>
      </c>
      <c r="U11">
        <v>1</v>
      </c>
      <c r="V11">
        <v>0</v>
      </c>
      <c r="W11">
        <v>1</v>
      </c>
      <c r="X11">
        <v>1</v>
      </c>
    </row>
    <row r="12" spans="1:25" x14ac:dyDescent="0.25">
      <c r="A12" s="1" t="s">
        <v>131</v>
      </c>
      <c r="B12" t="s">
        <v>76</v>
      </c>
      <c r="C12" t="s">
        <v>67</v>
      </c>
      <c r="D12" s="22" t="s">
        <v>77</v>
      </c>
      <c r="E12" s="2" t="s">
        <v>78</v>
      </c>
      <c r="J12">
        <v>100</v>
      </c>
      <c r="K12">
        <v>100</v>
      </c>
      <c r="M12">
        <v>100</v>
      </c>
      <c r="N12">
        <v>100</v>
      </c>
      <c r="O12">
        <v>50</v>
      </c>
      <c r="P12">
        <v>50</v>
      </c>
      <c r="Q12">
        <v>100</v>
      </c>
      <c r="R12" s="59">
        <v>100</v>
      </c>
      <c r="S12">
        <v>0</v>
      </c>
      <c r="T12">
        <v>0</v>
      </c>
      <c r="U12">
        <v>0</v>
      </c>
      <c r="V12">
        <v>0</v>
      </c>
      <c r="W12">
        <v>0</v>
      </c>
      <c r="X12">
        <v>50</v>
      </c>
    </row>
    <row r="13" spans="1:25" x14ac:dyDescent="0.25">
      <c r="A13" s="1" t="s">
        <v>131</v>
      </c>
      <c r="B13" t="s">
        <v>76</v>
      </c>
      <c r="C13" t="s">
        <v>47</v>
      </c>
      <c r="D13" s="22" t="s">
        <v>79</v>
      </c>
      <c r="E13" s="2" t="s">
        <v>80</v>
      </c>
      <c r="J13">
        <v>89</v>
      </c>
      <c r="K13">
        <v>68</v>
      </c>
      <c r="M13">
        <v>77</v>
      </c>
      <c r="N13">
        <v>86</v>
      </c>
      <c r="O13">
        <v>79</v>
      </c>
      <c r="P13">
        <v>64</v>
      </c>
      <c r="Q13">
        <v>69</v>
      </c>
      <c r="R13" s="59">
        <v>50</v>
      </c>
      <c r="S13">
        <v>39</v>
      </c>
      <c r="T13">
        <v>42</v>
      </c>
      <c r="U13">
        <v>64.5</v>
      </c>
      <c r="V13">
        <v>62.5</v>
      </c>
      <c r="W13">
        <v>51</v>
      </c>
      <c r="X13">
        <v>53.5</v>
      </c>
    </row>
    <row r="14" spans="1:25" x14ac:dyDescent="0.25">
      <c r="A14" s="1" t="s">
        <v>131</v>
      </c>
      <c r="B14" t="s">
        <v>76</v>
      </c>
      <c r="C14" t="s">
        <v>47</v>
      </c>
      <c r="D14" s="22" t="s">
        <v>81</v>
      </c>
      <c r="E14" s="2" t="s">
        <v>82</v>
      </c>
      <c r="J14">
        <v>8</v>
      </c>
      <c r="K14">
        <v>29</v>
      </c>
      <c r="M14">
        <v>23</v>
      </c>
      <c r="N14">
        <v>11</v>
      </c>
      <c r="O14">
        <v>19</v>
      </c>
      <c r="P14">
        <v>17</v>
      </c>
      <c r="Q14">
        <v>29</v>
      </c>
      <c r="R14" s="59">
        <v>50</v>
      </c>
      <c r="S14">
        <v>61</v>
      </c>
      <c r="T14">
        <v>53</v>
      </c>
      <c r="U14">
        <v>30</v>
      </c>
      <c r="V14">
        <v>35.5</v>
      </c>
      <c r="W14">
        <v>49</v>
      </c>
      <c r="X14">
        <v>46.5</v>
      </c>
    </row>
    <row r="15" spans="1:25" x14ac:dyDescent="0.25">
      <c r="A15" s="1" t="s">
        <v>131</v>
      </c>
      <c r="B15" t="s">
        <v>76</v>
      </c>
      <c r="C15" t="s">
        <v>47</v>
      </c>
      <c r="D15" s="22" t="s">
        <v>83</v>
      </c>
      <c r="E15" s="2" t="s">
        <v>84</v>
      </c>
      <c r="J15">
        <v>3</v>
      </c>
      <c r="K15">
        <v>3</v>
      </c>
      <c r="M15">
        <v>0</v>
      </c>
      <c r="N15">
        <v>3</v>
      </c>
      <c r="O15">
        <v>2</v>
      </c>
      <c r="P15">
        <v>18</v>
      </c>
      <c r="Q15">
        <v>2</v>
      </c>
      <c r="R15" s="59">
        <v>0</v>
      </c>
      <c r="S15">
        <v>0</v>
      </c>
      <c r="T15">
        <v>5</v>
      </c>
      <c r="U15">
        <v>4</v>
      </c>
      <c r="V15">
        <v>2</v>
      </c>
      <c r="W15">
        <v>0</v>
      </c>
      <c r="X15">
        <v>0</v>
      </c>
    </row>
    <row r="16" spans="1:25" x14ac:dyDescent="0.25">
      <c r="A16" s="1" t="s">
        <v>131</v>
      </c>
      <c r="B16" t="s">
        <v>76</v>
      </c>
      <c r="C16" t="s">
        <v>47</v>
      </c>
      <c r="D16" s="22" t="s">
        <v>85</v>
      </c>
      <c r="E16" s="2" t="s">
        <v>66</v>
      </c>
      <c r="J16">
        <v>0</v>
      </c>
      <c r="K16">
        <v>1</v>
      </c>
      <c r="M16">
        <v>0</v>
      </c>
      <c r="N16">
        <v>0</v>
      </c>
      <c r="O16">
        <v>0</v>
      </c>
      <c r="P16">
        <v>0</v>
      </c>
      <c r="Q16">
        <v>0</v>
      </c>
      <c r="R16" s="59">
        <v>0</v>
      </c>
      <c r="S16">
        <v>0</v>
      </c>
      <c r="T16">
        <v>0</v>
      </c>
      <c r="U16">
        <v>1.5</v>
      </c>
      <c r="V16">
        <v>0</v>
      </c>
      <c r="W16">
        <v>0</v>
      </c>
      <c r="X16">
        <v>0</v>
      </c>
    </row>
    <row r="17" spans="1:32" x14ac:dyDescent="0.25">
      <c r="A17" s="1" t="s">
        <v>131</v>
      </c>
      <c r="B17" t="s">
        <v>102</v>
      </c>
      <c r="C17" t="s">
        <v>47</v>
      </c>
      <c r="D17" s="22" t="s">
        <v>177</v>
      </c>
      <c r="E17" s="2" t="s">
        <v>66</v>
      </c>
      <c r="F17" t="s">
        <v>178</v>
      </c>
      <c r="J17">
        <v>31</v>
      </c>
      <c r="K17">
        <v>41</v>
      </c>
      <c r="M17">
        <v>23</v>
      </c>
      <c r="N17">
        <v>21</v>
      </c>
      <c r="O17">
        <v>27</v>
      </c>
      <c r="P17">
        <v>16</v>
      </c>
      <c r="Q17">
        <v>24</v>
      </c>
      <c r="R17" s="59">
        <v>16</v>
      </c>
      <c r="S17">
        <v>13</v>
      </c>
      <c r="T17">
        <v>24</v>
      </c>
      <c r="U17">
        <v>36</v>
      </c>
      <c r="V17">
        <v>43</v>
      </c>
      <c r="W17">
        <v>28</v>
      </c>
      <c r="X17">
        <v>20</v>
      </c>
    </row>
    <row r="18" spans="1:32" x14ac:dyDescent="0.25">
      <c r="A18" s="1" t="s">
        <v>131</v>
      </c>
      <c r="B18" t="s">
        <v>102</v>
      </c>
      <c r="C18" t="s">
        <v>47</v>
      </c>
      <c r="D18" s="22" t="s">
        <v>179</v>
      </c>
      <c r="E18" s="2" t="s">
        <v>66</v>
      </c>
      <c r="F18" t="s">
        <v>180</v>
      </c>
      <c r="J18">
        <v>3.1</v>
      </c>
      <c r="K18">
        <v>4.0999999999999996</v>
      </c>
      <c r="M18">
        <v>2.2999999999999998</v>
      </c>
      <c r="N18">
        <v>2.1</v>
      </c>
      <c r="O18">
        <v>2.7</v>
      </c>
      <c r="P18">
        <v>1.6</v>
      </c>
      <c r="Q18">
        <v>2.4</v>
      </c>
      <c r="R18" s="59">
        <v>1.6</v>
      </c>
      <c r="S18">
        <v>1.3</v>
      </c>
      <c r="T18">
        <v>2.4</v>
      </c>
      <c r="U18">
        <v>3.6</v>
      </c>
      <c r="V18">
        <v>4.3</v>
      </c>
      <c r="W18">
        <v>2.8</v>
      </c>
      <c r="X18">
        <v>2</v>
      </c>
    </row>
    <row r="19" spans="1:32" x14ac:dyDescent="0.25">
      <c r="A19" s="1" t="s">
        <v>131</v>
      </c>
      <c r="B19" t="s">
        <v>102</v>
      </c>
      <c r="C19" t="s">
        <v>47</v>
      </c>
      <c r="D19" s="22" t="s">
        <v>181</v>
      </c>
      <c r="E19" s="2" t="s">
        <v>66</v>
      </c>
      <c r="F19" t="s">
        <v>182</v>
      </c>
      <c r="J19">
        <v>36</v>
      </c>
      <c r="K19">
        <v>42</v>
      </c>
      <c r="M19">
        <v>25</v>
      </c>
      <c r="N19">
        <v>25</v>
      </c>
      <c r="O19">
        <v>31</v>
      </c>
      <c r="P19">
        <v>21</v>
      </c>
      <c r="Q19">
        <v>26</v>
      </c>
      <c r="R19" s="59">
        <v>16</v>
      </c>
      <c r="S19">
        <v>12</v>
      </c>
      <c r="T19">
        <v>24</v>
      </c>
      <c r="U19">
        <v>43</v>
      </c>
      <c r="V19">
        <v>50</v>
      </c>
      <c r="W19">
        <v>31</v>
      </c>
      <c r="X19">
        <v>23</v>
      </c>
    </row>
    <row r="20" spans="1:32" x14ac:dyDescent="0.25">
      <c r="A20" s="1" t="s">
        <v>131</v>
      </c>
      <c r="B20" t="s">
        <v>102</v>
      </c>
      <c r="C20" t="s">
        <v>47</v>
      </c>
      <c r="D20" s="22" t="s">
        <v>183</v>
      </c>
      <c r="E20" s="2" t="s">
        <v>66</v>
      </c>
      <c r="F20" t="s">
        <v>184</v>
      </c>
      <c r="J20">
        <v>3.6</v>
      </c>
      <c r="K20">
        <v>4.2</v>
      </c>
      <c r="M20">
        <v>2.5</v>
      </c>
      <c r="N20">
        <v>2.5</v>
      </c>
      <c r="O20">
        <v>3.1</v>
      </c>
      <c r="P20">
        <v>2.1</v>
      </c>
      <c r="Q20">
        <v>2.6</v>
      </c>
      <c r="R20" s="59">
        <v>1.6</v>
      </c>
      <c r="S20">
        <v>1.2</v>
      </c>
      <c r="T20">
        <v>2.4</v>
      </c>
      <c r="U20">
        <v>4.3</v>
      </c>
      <c r="V20">
        <v>5</v>
      </c>
      <c r="W20">
        <v>3.1</v>
      </c>
      <c r="X20">
        <v>2.2999999999999998</v>
      </c>
    </row>
    <row r="21" spans="1:32" x14ac:dyDescent="0.25">
      <c r="A21" s="1" t="s">
        <v>131</v>
      </c>
      <c r="B21" t="s">
        <v>102</v>
      </c>
      <c r="C21" t="s">
        <v>47</v>
      </c>
      <c r="D21" s="22" t="s">
        <v>185</v>
      </c>
      <c r="E21" s="2" t="s">
        <v>66</v>
      </c>
      <c r="F21" t="s">
        <v>186</v>
      </c>
      <c r="J21">
        <v>3</v>
      </c>
      <c r="K21">
        <v>5</v>
      </c>
      <c r="M21">
        <v>3</v>
      </c>
      <c r="N21">
        <v>4</v>
      </c>
      <c r="O21">
        <v>6</v>
      </c>
      <c r="P21">
        <v>8</v>
      </c>
      <c r="Q21">
        <v>21</v>
      </c>
      <c r="R21" s="59">
        <v>4</v>
      </c>
      <c r="S21">
        <v>6</v>
      </c>
      <c r="T21">
        <v>8</v>
      </c>
      <c r="U21">
        <v>21</v>
      </c>
      <c r="V21">
        <v>17</v>
      </c>
      <c r="W21">
        <v>26</v>
      </c>
      <c r="X21">
        <v>8</v>
      </c>
    </row>
    <row r="22" spans="1:32" x14ac:dyDescent="0.25">
      <c r="A22" s="1" t="s">
        <v>131</v>
      </c>
      <c r="B22" t="s">
        <v>102</v>
      </c>
      <c r="C22" t="s">
        <v>47</v>
      </c>
      <c r="D22" s="22" t="s">
        <v>187</v>
      </c>
      <c r="E22" s="2" t="s">
        <v>66</v>
      </c>
      <c r="F22" t="s">
        <v>188</v>
      </c>
      <c r="J22">
        <v>0.3</v>
      </c>
      <c r="K22">
        <v>0.5</v>
      </c>
      <c r="M22">
        <v>0.3</v>
      </c>
      <c r="N22">
        <v>0.4</v>
      </c>
      <c r="O22">
        <v>0.6</v>
      </c>
      <c r="P22">
        <v>0.8</v>
      </c>
      <c r="Q22">
        <v>2.1</v>
      </c>
      <c r="R22" s="59">
        <v>0.4</v>
      </c>
      <c r="S22">
        <v>0.6</v>
      </c>
      <c r="T22">
        <v>0.8</v>
      </c>
      <c r="U22">
        <v>2.1</v>
      </c>
      <c r="V22">
        <v>1.7</v>
      </c>
      <c r="W22">
        <v>2.6</v>
      </c>
      <c r="X22">
        <v>0.8</v>
      </c>
    </row>
    <row r="23" spans="1:32" s="17" customFormat="1" ht="89.25" customHeight="1" x14ac:dyDescent="0.25">
      <c r="A23" s="1" t="s">
        <v>131</v>
      </c>
      <c r="B23" s="17" t="s">
        <v>66</v>
      </c>
      <c r="C23" s="17" t="s">
        <v>66</v>
      </c>
      <c r="D23" s="17" t="s">
        <v>138</v>
      </c>
      <c r="E23" s="18" t="s">
        <v>66</v>
      </c>
      <c r="F23" s="41"/>
      <c r="G23" s="41"/>
      <c r="H23" s="40"/>
      <c r="I23" s="41"/>
      <c r="J23" s="41"/>
      <c r="K23" s="41" t="s">
        <v>189</v>
      </c>
      <c r="L23" s="41"/>
      <c r="M23" s="41"/>
      <c r="N23" s="41"/>
      <c r="O23" s="41" t="s">
        <v>190</v>
      </c>
      <c r="P23" s="41" t="s">
        <v>191</v>
      </c>
      <c r="Q23" s="41" t="s">
        <v>192</v>
      </c>
      <c r="R23" s="60" t="s">
        <v>193</v>
      </c>
      <c r="S23" s="60" t="s">
        <v>194</v>
      </c>
      <c r="T23" s="41" t="s">
        <v>195</v>
      </c>
      <c r="U23" s="41" t="s">
        <v>196</v>
      </c>
      <c r="V23" s="41" t="s">
        <v>197</v>
      </c>
      <c r="W23" s="41" t="s">
        <v>198</v>
      </c>
      <c r="X23" s="41"/>
      <c r="Y23" s="42"/>
      <c r="Z23" s="42"/>
      <c r="AA23" s="42"/>
      <c r="AB23" s="42"/>
      <c r="AC23" s="42"/>
      <c r="AD23" s="42"/>
      <c r="AE23" s="42"/>
      <c r="AF23" s="42"/>
    </row>
    <row r="24" spans="1:32" x14ac:dyDescent="0.25">
      <c r="A24" s="1"/>
      <c r="D24" s="22"/>
      <c r="F24" s="2" t="s">
        <v>199</v>
      </c>
      <c r="G24" s="27" t="s">
        <v>200</v>
      </c>
      <c r="H24" s="27" t="s">
        <v>201</v>
      </c>
      <c r="I24" s="27" t="s">
        <v>202</v>
      </c>
      <c r="J24" s="27" t="s">
        <v>203</v>
      </c>
      <c r="K24" s="27" t="s">
        <v>204</v>
      </c>
      <c r="L24" s="27" t="s">
        <v>205</v>
      </c>
      <c r="M24" s="27" t="s">
        <v>206</v>
      </c>
      <c r="N24" s="27" t="s">
        <v>207</v>
      </c>
      <c r="O24" s="27" t="s">
        <v>208</v>
      </c>
      <c r="P24" s="27" t="s">
        <v>209</v>
      </c>
      <c r="Q24" s="59" t="s">
        <v>210</v>
      </c>
      <c r="R24" s="19" t="s">
        <v>169</v>
      </c>
      <c r="S24" s="19" t="s">
        <v>170</v>
      </c>
      <c r="T24" s="79" t="s">
        <v>171</v>
      </c>
      <c r="U24" s="78" t="s">
        <v>172</v>
      </c>
      <c r="V24" s="78" t="s">
        <v>211</v>
      </c>
      <c r="W24" s="78" t="s">
        <v>174</v>
      </c>
      <c r="X24" s="78" t="s">
        <v>175</v>
      </c>
      <c r="Y24" s="78" t="s">
        <v>176</v>
      </c>
      <c r="Z24" s="27"/>
      <c r="AA24" s="27"/>
      <c r="AB24" s="27"/>
    </row>
    <row r="25" spans="1:32" x14ac:dyDescent="0.25">
      <c r="A25" s="1" t="s">
        <v>149</v>
      </c>
      <c r="B25" t="s">
        <v>46</v>
      </c>
      <c r="C25" t="s">
        <v>47</v>
      </c>
      <c r="D25" s="22" t="s">
        <v>48</v>
      </c>
      <c r="E25" s="2" t="s">
        <v>49</v>
      </c>
      <c r="F25" s="37">
        <v>1</v>
      </c>
      <c r="G25" s="37">
        <v>1</v>
      </c>
      <c r="H25" s="38">
        <v>0.81799999999999995</v>
      </c>
      <c r="I25" s="48">
        <v>1</v>
      </c>
      <c r="J25" s="38">
        <v>1</v>
      </c>
      <c r="K25" s="38">
        <v>0.84799999999999998</v>
      </c>
      <c r="L25" s="38">
        <v>0.76200000000000001</v>
      </c>
      <c r="M25" s="38">
        <v>1</v>
      </c>
      <c r="N25" s="38">
        <v>0.88200000000000001</v>
      </c>
      <c r="O25" s="38">
        <v>0.55000000000000004</v>
      </c>
      <c r="P25" s="38">
        <v>0.33300000000000002</v>
      </c>
      <c r="Q25" s="61">
        <v>1</v>
      </c>
      <c r="R25" s="50">
        <v>0.75600000000000001</v>
      </c>
      <c r="S25" s="50">
        <v>0.84899999999999998</v>
      </c>
      <c r="T25" s="50">
        <v>0.96399999999999997</v>
      </c>
      <c r="U25" s="50">
        <v>0.89400000000000002</v>
      </c>
      <c r="V25" s="38">
        <v>0.62</v>
      </c>
      <c r="W25" s="38">
        <v>0.89100000000000001</v>
      </c>
      <c r="X25" s="38">
        <v>1</v>
      </c>
    </row>
    <row r="26" spans="1:32" x14ac:dyDescent="0.25">
      <c r="A26" s="1" t="s">
        <v>149</v>
      </c>
      <c r="B26" t="s">
        <v>46</v>
      </c>
      <c r="C26" t="s">
        <v>47</v>
      </c>
      <c r="D26" s="22" t="s">
        <v>50</v>
      </c>
      <c r="E26" s="2" t="s">
        <v>51</v>
      </c>
      <c r="F26" s="28">
        <v>1.01</v>
      </c>
      <c r="G26" s="28">
        <v>2.0099999999999998</v>
      </c>
      <c r="H26">
        <v>2.86</v>
      </c>
      <c r="I26">
        <v>2.56</v>
      </c>
      <c r="J26" s="49">
        <v>1.91</v>
      </c>
      <c r="K26">
        <v>2.98</v>
      </c>
      <c r="L26">
        <v>1.51</v>
      </c>
      <c r="M26">
        <v>0.86</v>
      </c>
      <c r="N26">
        <v>2.93</v>
      </c>
      <c r="O26">
        <v>2.15</v>
      </c>
      <c r="P26">
        <v>4.67</v>
      </c>
      <c r="Q26" s="59">
        <v>2.4</v>
      </c>
      <c r="R26">
        <v>2.95</v>
      </c>
      <c r="S26">
        <v>3.78</v>
      </c>
      <c r="T26">
        <v>3.62</v>
      </c>
      <c r="U26">
        <v>2.72</v>
      </c>
      <c r="V26">
        <v>2.14</v>
      </c>
      <c r="W26">
        <v>3.67</v>
      </c>
      <c r="X26">
        <v>4.1900000000000004</v>
      </c>
    </row>
    <row r="27" spans="1:32" x14ac:dyDescent="0.25">
      <c r="A27" s="1" t="s">
        <v>149</v>
      </c>
      <c r="B27" t="s">
        <v>46</v>
      </c>
      <c r="C27" t="s">
        <v>47</v>
      </c>
      <c r="D27" s="22" t="s">
        <v>52</v>
      </c>
      <c r="E27" s="2" t="s">
        <v>53</v>
      </c>
      <c r="F27" s="37">
        <v>0.15</v>
      </c>
      <c r="G27" s="37">
        <v>0.23</v>
      </c>
      <c r="H27" s="37">
        <v>0.12</v>
      </c>
      <c r="I27" s="38">
        <v>0.21</v>
      </c>
      <c r="J27" s="38">
        <v>0.17</v>
      </c>
      <c r="K27" s="38">
        <v>0.16</v>
      </c>
      <c r="L27" s="38">
        <v>7.0000000000000007E-2</v>
      </c>
      <c r="M27" s="38">
        <v>0</v>
      </c>
      <c r="N27" s="38">
        <v>0.12</v>
      </c>
      <c r="O27" s="38">
        <v>0.02</v>
      </c>
      <c r="P27" s="38">
        <v>0</v>
      </c>
      <c r="Q27" s="61">
        <v>6.0000000000000001E-3</v>
      </c>
      <c r="R27">
        <v>0</v>
      </c>
      <c r="S27">
        <v>0</v>
      </c>
      <c r="T27">
        <v>0</v>
      </c>
      <c r="U27" s="38">
        <v>0.12</v>
      </c>
      <c r="V27" s="38">
        <v>7.0000000000000007E-2</v>
      </c>
      <c r="W27" s="38">
        <v>0.03</v>
      </c>
      <c r="X27" s="38">
        <v>0.06</v>
      </c>
    </row>
    <row r="28" spans="1:32" x14ac:dyDescent="0.25">
      <c r="A28" s="1" t="s">
        <v>149</v>
      </c>
      <c r="B28" t="s">
        <v>46</v>
      </c>
      <c r="C28" t="s">
        <v>47</v>
      </c>
      <c r="D28" s="22" t="s">
        <v>54</v>
      </c>
      <c r="E28" s="2" t="s">
        <v>55</v>
      </c>
      <c r="F28" s="28">
        <v>0</v>
      </c>
      <c r="G28" s="28">
        <v>0</v>
      </c>
      <c r="H28" s="28">
        <v>0</v>
      </c>
      <c r="I28" s="28">
        <v>0</v>
      </c>
      <c r="J28">
        <v>0</v>
      </c>
      <c r="K28">
        <v>0</v>
      </c>
      <c r="L28">
        <v>0</v>
      </c>
      <c r="M28">
        <v>0</v>
      </c>
      <c r="N28">
        <v>0</v>
      </c>
      <c r="O28">
        <v>0</v>
      </c>
      <c r="P28">
        <v>0</v>
      </c>
      <c r="Q28" s="59">
        <v>0</v>
      </c>
      <c r="R28">
        <v>0</v>
      </c>
      <c r="S28">
        <v>0</v>
      </c>
      <c r="T28">
        <v>0</v>
      </c>
      <c r="U28">
        <v>0</v>
      </c>
      <c r="V28">
        <v>0</v>
      </c>
      <c r="W28">
        <v>0</v>
      </c>
      <c r="X28">
        <v>0</v>
      </c>
    </row>
    <row r="29" spans="1:32" x14ac:dyDescent="0.25">
      <c r="A29" s="1" t="s">
        <v>149</v>
      </c>
      <c r="B29" t="s">
        <v>56</v>
      </c>
      <c r="C29" t="s">
        <v>57</v>
      </c>
      <c r="D29" s="22" t="s">
        <v>58</v>
      </c>
      <c r="E29" s="13" t="s">
        <v>59</v>
      </c>
      <c r="F29" s="28">
        <v>0</v>
      </c>
      <c r="G29" s="28">
        <v>0</v>
      </c>
      <c r="H29" s="28">
        <v>0</v>
      </c>
      <c r="I29" s="28">
        <v>0</v>
      </c>
      <c r="J29" s="28">
        <v>0</v>
      </c>
      <c r="K29" s="52">
        <v>0</v>
      </c>
      <c r="L29" s="52">
        <v>0</v>
      </c>
      <c r="M29" s="52">
        <v>0</v>
      </c>
      <c r="N29" s="52">
        <v>0</v>
      </c>
      <c r="O29" s="52">
        <v>0</v>
      </c>
      <c r="P29" s="52">
        <v>0</v>
      </c>
      <c r="Q29" s="53">
        <v>0</v>
      </c>
      <c r="R29">
        <v>0</v>
      </c>
      <c r="S29">
        <v>0</v>
      </c>
      <c r="T29">
        <v>0</v>
      </c>
      <c r="U29">
        <v>0</v>
      </c>
      <c r="V29">
        <v>0</v>
      </c>
      <c r="W29">
        <v>0</v>
      </c>
      <c r="X29">
        <v>0</v>
      </c>
    </row>
    <row r="30" spans="1:32" x14ac:dyDescent="0.25">
      <c r="A30" s="1" t="s">
        <v>149</v>
      </c>
      <c r="B30" t="s">
        <v>56</v>
      </c>
      <c r="C30" t="s">
        <v>57</v>
      </c>
      <c r="D30" s="23" t="s">
        <v>60</v>
      </c>
      <c r="E30" s="13" t="s">
        <v>61</v>
      </c>
      <c r="F30" s="28">
        <v>0</v>
      </c>
      <c r="G30" s="28">
        <v>0</v>
      </c>
      <c r="H30" s="28">
        <v>0</v>
      </c>
      <c r="I30" s="28">
        <v>0</v>
      </c>
      <c r="J30" s="28">
        <v>0</v>
      </c>
      <c r="K30" s="52">
        <v>0</v>
      </c>
      <c r="L30" s="52">
        <v>0</v>
      </c>
      <c r="M30" s="52">
        <v>0</v>
      </c>
      <c r="N30" s="52">
        <v>0</v>
      </c>
      <c r="O30" s="52">
        <v>0</v>
      </c>
      <c r="P30" s="52">
        <v>0</v>
      </c>
      <c r="Q30" s="53">
        <v>0</v>
      </c>
      <c r="R30">
        <v>0</v>
      </c>
      <c r="S30">
        <v>0</v>
      </c>
      <c r="T30">
        <v>0</v>
      </c>
      <c r="U30">
        <v>0</v>
      </c>
      <c r="V30">
        <v>0</v>
      </c>
      <c r="W30">
        <v>0</v>
      </c>
      <c r="X30">
        <v>0</v>
      </c>
    </row>
    <row r="31" spans="1:32" x14ac:dyDescent="0.25">
      <c r="A31" s="1" t="s">
        <v>149</v>
      </c>
      <c r="B31" t="s">
        <v>56</v>
      </c>
      <c r="C31" t="s">
        <v>57</v>
      </c>
      <c r="D31" s="23" t="s">
        <v>62</v>
      </c>
      <c r="E31" s="13" t="s">
        <v>63</v>
      </c>
      <c r="F31" s="28">
        <v>0</v>
      </c>
      <c r="G31" s="28">
        <v>0</v>
      </c>
      <c r="H31" s="28">
        <v>0</v>
      </c>
      <c r="I31" s="28">
        <v>0</v>
      </c>
      <c r="J31" s="28">
        <v>0</v>
      </c>
      <c r="K31" s="52">
        <v>0</v>
      </c>
      <c r="L31" s="52">
        <v>1</v>
      </c>
      <c r="M31" s="52">
        <v>0</v>
      </c>
      <c r="N31" s="52">
        <v>0</v>
      </c>
      <c r="O31" s="52">
        <v>0</v>
      </c>
      <c r="P31" s="52">
        <v>0</v>
      </c>
      <c r="Q31" s="53">
        <v>0</v>
      </c>
      <c r="R31">
        <v>0</v>
      </c>
      <c r="S31">
        <v>0</v>
      </c>
      <c r="T31">
        <v>0</v>
      </c>
      <c r="U31">
        <v>0</v>
      </c>
      <c r="V31">
        <v>0</v>
      </c>
      <c r="W31">
        <v>0</v>
      </c>
      <c r="X31">
        <v>0</v>
      </c>
    </row>
    <row r="32" spans="1:32" ht="17.25" customHeight="1" x14ac:dyDescent="0.25">
      <c r="A32" s="1" t="s">
        <v>149</v>
      </c>
      <c r="B32" t="s">
        <v>56</v>
      </c>
      <c r="C32" t="s">
        <v>57</v>
      </c>
      <c r="D32" s="22" t="s">
        <v>64</v>
      </c>
      <c r="E32" s="2" t="s">
        <v>65</v>
      </c>
      <c r="F32" s="29" t="s">
        <v>66</v>
      </c>
      <c r="G32" s="29" t="s">
        <v>66</v>
      </c>
      <c r="H32" s="29" t="s">
        <v>66</v>
      </c>
      <c r="I32" s="29" t="s">
        <v>66</v>
      </c>
      <c r="J32" s="29" t="s">
        <v>66</v>
      </c>
      <c r="K32" s="53" t="s">
        <v>66</v>
      </c>
      <c r="L32" s="53">
        <v>3</v>
      </c>
      <c r="M32" s="53" t="s">
        <v>66</v>
      </c>
      <c r="N32" s="53" t="s">
        <v>66</v>
      </c>
      <c r="O32" s="53" t="s">
        <v>66</v>
      </c>
      <c r="P32" s="53" t="s">
        <v>66</v>
      </c>
      <c r="Q32" s="53" t="s">
        <v>66</v>
      </c>
      <c r="R32" s="53" t="s">
        <v>66</v>
      </c>
      <c r="S32" s="53" t="s">
        <v>66</v>
      </c>
      <c r="T32" s="53" t="s">
        <v>66</v>
      </c>
      <c r="U32" s="53" t="s">
        <v>66</v>
      </c>
      <c r="V32" s="53" t="s">
        <v>66</v>
      </c>
      <c r="W32" s="53" t="s">
        <v>66</v>
      </c>
      <c r="X32" s="53" t="s">
        <v>66</v>
      </c>
    </row>
    <row r="33" spans="1:32" x14ac:dyDescent="0.25">
      <c r="A33" s="1" t="s">
        <v>149</v>
      </c>
      <c r="B33" t="s">
        <v>9</v>
      </c>
      <c r="C33" t="s">
        <v>67</v>
      </c>
      <c r="D33" s="39" t="s">
        <v>68</v>
      </c>
      <c r="E33" s="2" t="s">
        <v>69</v>
      </c>
      <c r="F33" s="28">
        <v>3</v>
      </c>
      <c r="G33" s="28">
        <v>3</v>
      </c>
      <c r="H33">
        <v>0</v>
      </c>
      <c r="I33">
        <v>0</v>
      </c>
      <c r="J33">
        <v>2</v>
      </c>
      <c r="K33">
        <v>0</v>
      </c>
      <c r="L33">
        <v>0</v>
      </c>
      <c r="M33">
        <v>1</v>
      </c>
      <c r="N33">
        <v>0</v>
      </c>
      <c r="O33">
        <v>1</v>
      </c>
      <c r="P33">
        <v>0</v>
      </c>
      <c r="Q33" s="59">
        <v>1</v>
      </c>
      <c r="R33">
        <v>0</v>
      </c>
      <c r="S33">
        <v>0</v>
      </c>
      <c r="T33">
        <v>2</v>
      </c>
      <c r="U33">
        <v>4</v>
      </c>
      <c r="V33">
        <v>2</v>
      </c>
      <c r="W33">
        <v>4</v>
      </c>
      <c r="X33">
        <v>3</v>
      </c>
    </row>
    <row r="34" spans="1:32" x14ac:dyDescent="0.25">
      <c r="A34" s="1" t="s">
        <v>149</v>
      </c>
      <c r="B34" t="s">
        <v>9</v>
      </c>
      <c r="C34" t="s">
        <v>67</v>
      </c>
      <c r="D34" s="22" t="s">
        <v>70</v>
      </c>
      <c r="E34" s="2" t="s">
        <v>69</v>
      </c>
      <c r="F34" s="28">
        <v>7</v>
      </c>
      <c r="G34" s="28">
        <v>1</v>
      </c>
      <c r="H34">
        <v>1</v>
      </c>
      <c r="I34">
        <v>0</v>
      </c>
      <c r="J34">
        <v>0</v>
      </c>
      <c r="K34">
        <v>0</v>
      </c>
      <c r="L34">
        <v>2</v>
      </c>
      <c r="M34">
        <v>0</v>
      </c>
      <c r="N34">
        <v>3</v>
      </c>
      <c r="O34">
        <v>0</v>
      </c>
      <c r="P34">
        <v>0</v>
      </c>
      <c r="Q34" s="59">
        <v>1</v>
      </c>
      <c r="R34">
        <v>2</v>
      </c>
      <c r="S34">
        <v>0</v>
      </c>
      <c r="T34">
        <v>0</v>
      </c>
      <c r="U34">
        <v>4</v>
      </c>
      <c r="V34">
        <v>2</v>
      </c>
      <c r="W34">
        <v>4</v>
      </c>
      <c r="X34">
        <v>3</v>
      </c>
    </row>
    <row r="35" spans="1:32" x14ac:dyDescent="0.25">
      <c r="A35" s="1" t="s">
        <v>149</v>
      </c>
      <c r="B35" t="s">
        <v>76</v>
      </c>
      <c r="C35" t="s">
        <v>67</v>
      </c>
      <c r="D35" s="22" t="s">
        <v>77</v>
      </c>
      <c r="E35" s="2" t="s">
        <v>78</v>
      </c>
      <c r="F35" s="28"/>
      <c r="G35" s="28"/>
      <c r="L35" s="38">
        <v>1</v>
      </c>
      <c r="M35" s="38">
        <v>0.16</v>
      </c>
      <c r="N35" s="38">
        <v>0.16</v>
      </c>
      <c r="O35" s="38">
        <v>0.33</v>
      </c>
      <c r="P35" s="38">
        <v>0.33</v>
      </c>
      <c r="Q35" s="61">
        <v>0.33</v>
      </c>
      <c r="R35" s="38">
        <v>1</v>
      </c>
      <c r="U35" s="38">
        <v>0.22</v>
      </c>
      <c r="V35" s="38">
        <v>0.44</v>
      </c>
      <c r="W35" s="38">
        <v>0.6</v>
      </c>
      <c r="X35" s="38"/>
    </row>
    <row r="36" spans="1:32" x14ac:dyDescent="0.25">
      <c r="A36" s="1" t="s">
        <v>149</v>
      </c>
      <c r="B36" t="s">
        <v>76</v>
      </c>
      <c r="C36" t="s">
        <v>47</v>
      </c>
      <c r="D36" s="22" t="s">
        <v>79</v>
      </c>
      <c r="E36" s="2" t="s">
        <v>80</v>
      </c>
      <c r="F36" s="37">
        <v>0.25</v>
      </c>
      <c r="G36" s="37">
        <v>0.45</v>
      </c>
      <c r="H36" s="37">
        <v>0.66</v>
      </c>
      <c r="I36" s="38">
        <v>0.72</v>
      </c>
      <c r="J36" s="38">
        <v>0.73</v>
      </c>
      <c r="K36" s="38">
        <v>0.76</v>
      </c>
      <c r="L36" s="38">
        <v>0.69</v>
      </c>
      <c r="M36" s="38">
        <v>0.89</v>
      </c>
      <c r="N36" s="38">
        <v>0.7</v>
      </c>
      <c r="O36" s="38">
        <v>0.77</v>
      </c>
      <c r="P36" s="38">
        <v>0.63</v>
      </c>
      <c r="Q36" s="61">
        <v>7.0000000000000007E-2</v>
      </c>
      <c r="R36" s="38">
        <v>0.93</v>
      </c>
      <c r="S36" s="38">
        <v>0.98</v>
      </c>
      <c r="T36" s="38">
        <v>0.98</v>
      </c>
      <c r="U36" s="38">
        <v>0.81</v>
      </c>
      <c r="V36" s="38">
        <v>0.6</v>
      </c>
      <c r="W36" s="38">
        <v>0.53</v>
      </c>
      <c r="X36" s="38">
        <v>0.6</v>
      </c>
    </row>
    <row r="37" spans="1:32" x14ac:dyDescent="0.25">
      <c r="A37" s="1" t="s">
        <v>149</v>
      </c>
      <c r="B37" t="s">
        <v>76</v>
      </c>
      <c r="C37" t="s">
        <v>47</v>
      </c>
      <c r="D37" s="22" t="s">
        <v>81</v>
      </c>
      <c r="E37" s="2" t="s">
        <v>82</v>
      </c>
      <c r="F37" s="37">
        <v>0.01</v>
      </c>
      <c r="G37" s="37">
        <v>0.1</v>
      </c>
      <c r="H37" s="37">
        <v>0.18</v>
      </c>
      <c r="I37" s="38">
        <v>0.16</v>
      </c>
      <c r="J37" s="38">
        <v>7.0000000000000007E-2</v>
      </c>
      <c r="K37" s="38">
        <v>0</v>
      </c>
      <c r="L37" s="38">
        <v>0</v>
      </c>
      <c r="M37" s="38">
        <v>0</v>
      </c>
      <c r="N37" s="38">
        <v>0</v>
      </c>
      <c r="O37" s="38">
        <v>0</v>
      </c>
      <c r="P37" s="38">
        <v>0</v>
      </c>
      <c r="Q37" s="61">
        <v>0.03</v>
      </c>
      <c r="R37" s="38">
        <v>0</v>
      </c>
      <c r="S37" s="38">
        <v>0</v>
      </c>
      <c r="T37" s="38">
        <v>0</v>
      </c>
      <c r="U37" s="38">
        <v>0</v>
      </c>
      <c r="V37" s="38">
        <v>0.02</v>
      </c>
      <c r="W37" s="38">
        <v>0</v>
      </c>
      <c r="X37" s="38">
        <v>0</v>
      </c>
    </row>
    <row r="38" spans="1:32" x14ac:dyDescent="0.25">
      <c r="A38" s="1" t="s">
        <v>149</v>
      </c>
      <c r="B38" t="s">
        <v>76</v>
      </c>
      <c r="C38" t="s">
        <v>47</v>
      </c>
      <c r="D38" s="22" t="s">
        <v>83</v>
      </c>
      <c r="E38" s="2" t="s">
        <v>84</v>
      </c>
      <c r="F38" s="37">
        <v>0.74</v>
      </c>
      <c r="G38" s="37">
        <v>0.45</v>
      </c>
      <c r="H38" s="37">
        <v>0.16</v>
      </c>
      <c r="I38" s="38">
        <v>0.11</v>
      </c>
      <c r="J38" s="38">
        <v>0.2</v>
      </c>
      <c r="K38" s="38">
        <v>0.24</v>
      </c>
      <c r="L38" s="38">
        <v>0.31</v>
      </c>
      <c r="M38" s="38">
        <v>0.11</v>
      </c>
      <c r="N38" s="38">
        <v>0.3</v>
      </c>
      <c r="O38" s="38">
        <v>0.08</v>
      </c>
      <c r="P38" s="38">
        <v>0.26</v>
      </c>
      <c r="Q38" s="61">
        <v>0</v>
      </c>
      <c r="R38" s="38">
        <v>7.0000000000000007E-2</v>
      </c>
      <c r="S38" s="38">
        <v>0.02</v>
      </c>
      <c r="T38" s="38">
        <v>0.02</v>
      </c>
      <c r="U38" s="38">
        <v>0.18</v>
      </c>
      <c r="V38" s="38">
        <v>0.26</v>
      </c>
      <c r="W38" s="38">
        <v>0.37</v>
      </c>
      <c r="X38" s="38">
        <v>0.4</v>
      </c>
    </row>
    <row r="39" spans="1:32" x14ac:dyDescent="0.25">
      <c r="A39" s="1" t="s">
        <v>149</v>
      </c>
      <c r="B39" t="s">
        <v>76</v>
      </c>
      <c r="C39" t="s">
        <v>47</v>
      </c>
      <c r="D39" s="22" t="s">
        <v>85</v>
      </c>
      <c r="E39" s="2" t="s">
        <v>66</v>
      </c>
      <c r="F39" s="37">
        <v>0</v>
      </c>
      <c r="G39" s="37">
        <v>0</v>
      </c>
      <c r="H39" s="38">
        <v>0</v>
      </c>
      <c r="I39" s="38">
        <v>0.01</v>
      </c>
      <c r="J39" s="38">
        <v>0</v>
      </c>
      <c r="K39" s="38">
        <v>0</v>
      </c>
      <c r="L39" s="38">
        <v>0</v>
      </c>
      <c r="M39" s="38">
        <v>0</v>
      </c>
      <c r="N39" s="38">
        <v>0</v>
      </c>
      <c r="O39" s="38">
        <v>0.15</v>
      </c>
      <c r="P39" s="38">
        <v>0.11</v>
      </c>
      <c r="Q39" s="61">
        <v>0</v>
      </c>
      <c r="R39" s="38">
        <v>0</v>
      </c>
      <c r="S39" s="38">
        <v>0</v>
      </c>
      <c r="T39" s="38">
        <v>0</v>
      </c>
      <c r="U39" s="38">
        <v>0.01</v>
      </c>
      <c r="V39" s="38">
        <v>0.12</v>
      </c>
      <c r="W39" s="38">
        <v>0.1</v>
      </c>
      <c r="X39" s="38">
        <v>0</v>
      </c>
    </row>
    <row r="40" spans="1:32" x14ac:dyDescent="0.25">
      <c r="A40" s="1" t="s">
        <v>149</v>
      </c>
      <c r="B40" t="s">
        <v>102</v>
      </c>
      <c r="C40" t="s">
        <v>47</v>
      </c>
      <c r="D40" s="22" t="s">
        <v>177</v>
      </c>
      <c r="E40" s="2" t="s">
        <v>66</v>
      </c>
      <c r="F40" s="28">
        <v>40</v>
      </c>
      <c r="G40" s="28">
        <v>18</v>
      </c>
      <c r="H40">
        <v>30</v>
      </c>
      <c r="I40" s="47">
        <v>18</v>
      </c>
      <c r="J40">
        <v>34</v>
      </c>
      <c r="K40">
        <v>25</v>
      </c>
      <c r="L40">
        <v>30</v>
      </c>
      <c r="M40">
        <v>23</v>
      </c>
      <c r="N40">
        <v>10</v>
      </c>
      <c r="O40">
        <v>36</v>
      </c>
      <c r="P40">
        <v>11</v>
      </c>
      <c r="Q40" s="59">
        <v>44</v>
      </c>
      <c r="R40">
        <v>17</v>
      </c>
      <c r="S40">
        <v>38</v>
      </c>
      <c r="T40">
        <v>49</v>
      </c>
      <c r="U40">
        <v>28</v>
      </c>
      <c r="V40">
        <v>21</v>
      </c>
      <c r="W40">
        <v>25</v>
      </c>
      <c r="X40">
        <v>28</v>
      </c>
    </row>
    <row r="41" spans="1:32" x14ac:dyDescent="0.25">
      <c r="A41" s="1" t="s">
        <v>149</v>
      </c>
      <c r="B41" t="s">
        <v>102</v>
      </c>
      <c r="C41" t="s">
        <v>47</v>
      </c>
      <c r="D41" s="22" t="s">
        <v>179</v>
      </c>
      <c r="E41" s="2" t="s">
        <v>66</v>
      </c>
      <c r="F41" s="28">
        <v>3.33</v>
      </c>
      <c r="G41" s="28">
        <v>2.57</v>
      </c>
      <c r="H41">
        <v>4.29</v>
      </c>
      <c r="I41">
        <v>2.57</v>
      </c>
      <c r="J41">
        <v>5.67</v>
      </c>
      <c r="K41">
        <v>3.12</v>
      </c>
      <c r="L41">
        <v>3</v>
      </c>
      <c r="M41">
        <v>3.83</v>
      </c>
      <c r="N41">
        <v>1.43</v>
      </c>
      <c r="O41">
        <v>2.77</v>
      </c>
      <c r="P41">
        <v>1.1000000000000001</v>
      </c>
      <c r="Q41" s="59">
        <v>4</v>
      </c>
      <c r="R41">
        <v>1.89</v>
      </c>
      <c r="S41">
        <v>3.45</v>
      </c>
      <c r="T41">
        <v>4.45</v>
      </c>
      <c r="U41">
        <v>3.11</v>
      </c>
      <c r="V41">
        <v>1.91</v>
      </c>
      <c r="W41">
        <v>2.78</v>
      </c>
      <c r="X41">
        <v>2.15</v>
      </c>
    </row>
    <row r="42" spans="1:32" x14ac:dyDescent="0.25">
      <c r="A42" s="1" t="s">
        <v>149</v>
      </c>
      <c r="B42" t="s">
        <v>102</v>
      </c>
      <c r="C42" t="s">
        <v>47</v>
      </c>
      <c r="D42" s="22" t="s">
        <v>181</v>
      </c>
      <c r="E42" s="2" t="s">
        <v>66</v>
      </c>
      <c r="F42" s="28">
        <v>43</v>
      </c>
      <c r="G42" s="28">
        <v>16</v>
      </c>
      <c r="H42">
        <v>30</v>
      </c>
      <c r="I42">
        <v>18</v>
      </c>
      <c r="J42">
        <v>32</v>
      </c>
      <c r="K42">
        <v>24</v>
      </c>
      <c r="L42">
        <v>36</v>
      </c>
      <c r="M42">
        <v>23</v>
      </c>
      <c r="N42">
        <v>10</v>
      </c>
      <c r="O42">
        <v>35</v>
      </c>
      <c r="P42">
        <v>12</v>
      </c>
      <c r="Q42" s="59">
        <v>46</v>
      </c>
      <c r="R42">
        <v>15</v>
      </c>
      <c r="S42">
        <v>37</v>
      </c>
      <c r="T42">
        <v>44</v>
      </c>
      <c r="U42">
        <v>28</v>
      </c>
      <c r="V42">
        <v>21</v>
      </c>
      <c r="W42">
        <v>20</v>
      </c>
      <c r="X42">
        <v>26</v>
      </c>
    </row>
    <row r="43" spans="1:32" x14ac:dyDescent="0.25">
      <c r="A43" s="1" t="s">
        <v>149</v>
      </c>
      <c r="B43" t="s">
        <v>102</v>
      </c>
      <c r="C43" t="s">
        <v>47</v>
      </c>
      <c r="D43" s="22" t="s">
        <v>183</v>
      </c>
      <c r="E43" s="2" t="s">
        <v>66</v>
      </c>
      <c r="F43" s="28">
        <v>3.58</v>
      </c>
      <c r="G43" s="28">
        <v>2.29</v>
      </c>
      <c r="H43">
        <v>4.29</v>
      </c>
      <c r="I43">
        <v>2.57</v>
      </c>
      <c r="J43">
        <v>5.33</v>
      </c>
      <c r="K43">
        <v>3</v>
      </c>
      <c r="L43">
        <v>3.6</v>
      </c>
      <c r="M43">
        <v>3.83</v>
      </c>
      <c r="N43">
        <v>1.43</v>
      </c>
      <c r="O43">
        <v>2.69</v>
      </c>
      <c r="P43">
        <v>1.2</v>
      </c>
      <c r="Q43" s="59">
        <v>4.18</v>
      </c>
      <c r="R43">
        <v>1.67</v>
      </c>
      <c r="S43">
        <v>3.36</v>
      </c>
      <c r="T43">
        <v>4</v>
      </c>
      <c r="U43">
        <v>3.11</v>
      </c>
      <c r="V43">
        <v>1.91</v>
      </c>
      <c r="W43">
        <v>2.2200000000000002</v>
      </c>
      <c r="X43">
        <v>2</v>
      </c>
    </row>
    <row r="44" spans="1:32" x14ac:dyDescent="0.25">
      <c r="A44" s="1" t="s">
        <v>149</v>
      </c>
      <c r="B44" t="s">
        <v>102</v>
      </c>
      <c r="C44" t="s">
        <v>47</v>
      </c>
      <c r="D44" s="22" t="s">
        <v>185</v>
      </c>
      <c r="E44" s="2" t="s">
        <v>66</v>
      </c>
      <c r="F44" s="28">
        <v>38</v>
      </c>
      <c r="G44" s="28">
        <v>15</v>
      </c>
      <c r="H44">
        <v>53</v>
      </c>
      <c r="I44">
        <v>34</v>
      </c>
      <c r="J44" s="47">
        <v>66</v>
      </c>
      <c r="K44" s="47">
        <v>27</v>
      </c>
      <c r="L44">
        <v>66</v>
      </c>
      <c r="M44">
        <v>30</v>
      </c>
      <c r="N44">
        <v>11</v>
      </c>
      <c r="O44">
        <v>122</v>
      </c>
      <c r="P44">
        <v>39</v>
      </c>
      <c r="Q44" s="59">
        <v>96</v>
      </c>
      <c r="R44">
        <v>98</v>
      </c>
      <c r="S44">
        <v>125</v>
      </c>
      <c r="T44">
        <v>85</v>
      </c>
      <c r="U44">
        <v>45</v>
      </c>
      <c r="V44">
        <v>66</v>
      </c>
      <c r="W44">
        <v>71</v>
      </c>
      <c r="X44">
        <v>90</v>
      </c>
    </row>
    <row r="45" spans="1:32" x14ac:dyDescent="0.25">
      <c r="A45" s="1" t="s">
        <v>149</v>
      </c>
      <c r="B45" t="s">
        <v>102</v>
      </c>
      <c r="C45" t="s">
        <v>47</v>
      </c>
      <c r="D45" s="22" t="s">
        <v>187</v>
      </c>
      <c r="E45" s="2" t="s">
        <v>66</v>
      </c>
      <c r="F45" s="28">
        <v>3.17</v>
      </c>
      <c r="G45" s="28">
        <v>2.14</v>
      </c>
      <c r="H45">
        <v>7.57</v>
      </c>
      <c r="I45">
        <v>4.8600000000000003</v>
      </c>
      <c r="J45">
        <v>11</v>
      </c>
      <c r="K45">
        <v>3.38</v>
      </c>
      <c r="L45">
        <v>6.6</v>
      </c>
      <c r="M45">
        <v>5</v>
      </c>
      <c r="N45">
        <v>1.57</v>
      </c>
      <c r="O45">
        <v>9.3800000000000008</v>
      </c>
      <c r="P45">
        <v>3.9</v>
      </c>
      <c r="Q45" s="59">
        <v>8.73</v>
      </c>
      <c r="R45">
        <v>10.89</v>
      </c>
      <c r="S45">
        <v>11.36</v>
      </c>
      <c r="T45">
        <v>7.73</v>
      </c>
      <c r="U45">
        <v>5</v>
      </c>
      <c r="V45">
        <v>6</v>
      </c>
      <c r="W45">
        <v>7.89</v>
      </c>
      <c r="X45">
        <v>6.92</v>
      </c>
    </row>
    <row r="46" spans="1:32" s="17" customFormat="1" ht="57.75" customHeight="1" x14ac:dyDescent="0.25">
      <c r="A46" s="1" t="s">
        <v>149</v>
      </c>
      <c r="B46" s="17" t="s">
        <v>66</v>
      </c>
      <c r="C46" s="17" t="s">
        <v>66</v>
      </c>
      <c r="D46" s="17" t="s">
        <v>138</v>
      </c>
      <c r="E46" s="18" t="s">
        <v>66</v>
      </c>
      <c r="F46" s="41" t="s">
        <v>212</v>
      </c>
      <c r="G46" s="41" t="s">
        <v>213</v>
      </c>
      <c r="H46" s="40"/>
      <c r="I46" s="41" t="s">
        <v>214</v>
      </c>
      <c r="J46" s="41" t="s">
        <v>215</v>
      </c>
      <c r="K46" s="41"/>
      <c r="L46" s="41"/>
      <c r="M46" s="41" t="s">
        <v>216</v>
      </c>
      <c r="N46" s="41" t="s">
        <v>217</v>
      </c>
      <c r="O46" s="41" t="s">
        <v>218</v>
      </c>
      <c r="P46" s="41" t="s">
        <v>219</v>
      </c>
      <c r="Q46" s="60"/>
      <c r="R46" s="41"/>
      <c r="S46" s="41"/>
      <c r="T46" s="41"/>
      <c r="U46" s="41"/>
      <c r="V46" s="41"/>
      <c r="W46" s="41"/>
      <c r="X46" s="41"/>
      <c r="Y46" s="42"/>
      <c r="Z46" s="42"/>
      <c r="AA46" s="42"/>
      <c r="AB46" s="42"/>
      <c r="AC46" s="42"/>
      <c r="AD46" s="42"/>
      <c r="AE46" s="42"/>
      <c r="AF46" s="42"/>
    </row>
    <row r="47" spans="1:32" x14ac:dyDescent="0.25">
      <c r="R47" s="19" t="s">
        <v>169</v>
      </c>
      <c r="S47" s="19" t="s">
        <v>170</v>
      </c>
      <c r="T47" s="76" t="s">
        <v>171</v>
      </c>
      <c r="U47" s="78" t="s">
        <v>220</v>
      </c>
      <c r="V47" s="78" t="s">
        <v>173</v>
      </c>
      <c r="W47" s="78" t="s">
        <v>174</v>
      </c>
      <c r="X47" s="78" t="s">
        <v>175</v>
      </c>
    </row>
    <row r="48" spans="1:32" x14ac:dyDescent="0.25">
      <c r="A48" s="1" t="s">
        <v>119</v>
      </c>
      <c r="B48" t="s">
        <v>46</v>
      </c>
      <c r="C48" t="s">
        <v>47</v>
      </c>
      <c r="D48" s="22" t="s">
        <v>48</v>
      </c>
      <c r="E48" s="2" t="s">
        <v>49</v>
      </c>
      <c r="F48" s="28">
        <v>85</v>
      </c>
      <c r="G48" s="28">
        <v>95</v>
      </c>
      <c r="H48">
        <v>80</v>
      </c>
      <c r="I48">
        <v>90</v>
      </c>
      <c r="J48">
        <v>90</v>
      </c>
      <c r="K48">
        <v>94</v>
      </c>
      <c r="L48">
        <v>100</v>
      </c>
      <c r="M48">
        <v>92.2</v>
      </c>
      <c r="N48">
        <v>70.5</v>
      </c>
      <c r="O48">
        <v>71.3</v>
      </c>
      <c r="P48">
        <v>71.3</v>
      </c>
      <c r="Q48" s="59">
        <v>80.7</v>
      </c>
      <c r="R48">
        <v>53.6</v>
      </c>
      <c r="S48">
        <v>74.3</v>
      </c>
      <c r="T48">
        <v>86.3</v>
      </c>
      <c r="U48">
        <v>83.5</v>
      </c>
      <c r="V48">
        <v>95.7</v>
      </c>
      <c r="W48">
        <v>83.8</v>
      </c>
      <c r="X48">
        <v>76.5</v>
      </c>
    </row>
    <row r="49" spans="1:24" x14ac:dyDescent="0.25">
      <c r="A49" s="1" t="s">
        <v>119</v>
      </c>
      <c r="B49" t="s">
        <v>46</v>
      </c>
      <c r="C49" t="s">
        <v>47</v>
      </c>
      <c r="D49" s="22" t="s">
        <v>50</v>
      </c>
      <c r="E49" s="2" t="s">
        <v>51</v>
      </c>
      <c r="F49" s="28"/>
      <c r="G49" s="28"/>
      <c r="H49">
        <v>7</v>
      </c>
      <c r="I49">
        <v>7</v>
      </c>
      <c r="J49">
        <v>4.88</v>
      </c>
      <c r="K49">
        <v>3.5</v>
      </c>
      <c r="L49">
        <v>5.15</v>
      </c>
      <c r="M49">
        <v>7.93</v>
      </c>
      <c r="N49">
        <v>5.21</v>
      </c>
      <c r="O49">
        <v>7.53</v>
      </c>
      <c r="P49">
        <v>7.53</v>
      </c>
      <c r="Q49" s="59">
        <v>4.04</v>
      </c>
      <c r="R49">
        <v>7.01</v>
      </c>
      <c r="S49">
        <v>8</v>
      </c>
      <c r="T49">
        <v>3.92</v>
      </c>
      <c r="U49">
        <v>6.35</v>
      </c>
      <c r="V49">
        <v>6.04</v>
      </c>
      <c r="W49">
        <v>6.92</v>
      </c>
      <c r="X49">
        <v>8</v>
      </c>
    </row>
    <row r="50" spans="1:24" x14ac:dyDescent="0.25">
      <c r="A50" s="1" t="s">
        <v>119</v>
      </c>
      <c r="B50" t="s">
        <v>46</v>
      </c>
      <c r="C50" t="s">
        <v>47</v>
      </c>
      <c r="D50" s="22" t="s">
        <v>52</v>
      </c>
      <c r="E50" s="2" t="s">
        <v>53</v>
      </c>
      <c r="F50" s="28">
        <v>8</v>
      </c>
      <c r="G50" s="28">
        <v>4</v>
      </c>
      <c r="H50">
        <v>6</v>
      </c>
      <c r="I50">
        <v>7</v>
      </c>
      <c r="J50">
        <v>6</v>
      </c>
      <c r="K50">
        <v>12</v>
      </c>
      <c r="L50">
        <v>8</v>
      </c>
      <c r="M50">
        <v>3</v>
      </c>
      <c r="N50">
        <v>16</v>
      </c>
      <c r="O50">
        <v>18</v>
      </c>
      <c r="P50">
        <v>29</v>
      </c>
      <c r="Q50" s="59">
        <v>20</v>
      </c>
      <c r="R50">
        <v>8</v>
      </c>
      <c r="S50">
        <v>5</v>
      </c>
      <c r="T50">
        <v>8</v>
      </c>
      <c r="U50">
        <v>10</v>
      </c>
      <c r="V50">
        <v>16</v>
      </c>
      <c r="W50">
        <v>6</v>
      </c>
      <c r="X50">
        <v>8.5</v>
      </c>
    </row>
    <row r="51" spans="1:24" x14ac:dyDescent="0.25">
      <c r="A51" s="1" t="s">
        <v>119</v>
      </c>
      <c r="B51" t="s">
        <v>46</v>
      </c>
      <c r="C51" t="s">
        <v>47</v>
      </c>
      <c r="D51" s="22" t="s">
        <v>54</v>
      </c>
      <c r="E51" s="2" t="s">
        <v>55</v>
      </c>
      <c r="F51" s="28">
        <v>0</v>
      </c>
      <c r="G51" s="28">
        <v>0</v>
      </c>
      <c r="H51">
        <v>0</v>
      </c>
      <c r="I51">
        <v>0</v>
      </c>
      <c r="J51">
        <v>0</v>
      </c>
      <c r="K51">
        <v>0</v>
      </c>
      <c r="L51">
        <v>0</v>
      </c>
      <c r="M51">
        <v>0</v>
      </c>
      <c r="N51">
        <v>0</v>
      </c>
      <c r="O51">
        <v>0</v>
      </c>
      <c r="P51">
        <v>0</v>
      </c>
      <c r="Q51" s="59">
        <v>0</v>
      </c>
      <c r="R51">
        <v>0</v>
      </c>
      <c r="S51">
        <v>0</v>
      </c>
      <c r="T51">
        <v>0</v>
      </c>
      <c r="U51">
        <v>0</v>
      </c>
      <c r="V51">
        <v>0</v>
      </c>
      <c r="W51">
        <v>0</v>
      </c>
      <c r="X51">
        <v>0</v>
      </c>
    </row>
    <row r="52" spans="1:24" x14ac:dyDescent="0.25">
      <c r="A52" s="1" t="s">
        <v>119</v>
      </c>
      <c r="B52" t="s">
        <v>56</v>
      </c>
      <c r="C52" t="s">
        <v>57</v>
      </c>
      <c r="D52" s="22" t="s">
        <v>58</v>
      </c>
      <c r="E52" s="13" t="s">
        <v>59</v>
      </c>
      <c r="F52" s="28">
        <v>0</v>
      </c>
      <c r="G52" s="28">
        <v>0</v>
      </c>
      <c r="H52">
        <v>0</v>
      </c>
      <c r="I52">
        <v>0</v>
      </c>
      <c r="J52">
        <v>0</v>
      </c>
      <c r="K52">
        <v>0</v>
      </c>
      <c r="L52">
        <v>0</v>
      </c>
      <c r="M52">
        <v>0</v>
      </c>
      <c r="N52">
        <v>0</v>
      </c>
      <c r="O52">
        <v>0</v>
      </c>
      <c r="P52">
        <v>0</v>
      </c>
      <c r="Q52" s="59">
        <v>0</v>
      </c>
      <c r="R52">
        <v>0</v>
      </c>
      <c r="S52">
        <v>0</v>
      </c>
      <c r="T52">
        <v>0</v>
      </c>
      <c r="U52">
        <v>0</v>
      </c>
      <c r="V52">
        <v>0</v>
      </c>
      <c r="W52">
        <v>0</v>
      </c>
      <c r="X52">
        <v>0</v>
      </c>
    </row>
    <row r="53" spans="1:24" x14ac:dyDescent="0.25">
      <c r="A53" s="1" t="s">
        <v>119</v>
      </c>
      <c r="B53" t="s">
        <v>56</v>
      </c>
      <c r="C53" t="s">
        <v>57</v>
      </c>
      <c r="D53" s="23" t="s">
        <v>60</v>
      </c>
      <c r="E53" s="13" t="s">
        <v>61</v>
      </c>
      <c r="F53" s="28">
        <v>0</v>
      </c>
      <c r="G53" s="28">
        <v>0</v>
      </c>
      <c r="H53">
        <v>0</v>
      </c>
      <c r="I53">
        <v>0</v>
      </c>
      <c r="J53">
        <v>0</v>
      </c>
      <c r="K53">
        <v>0</v>
      </c>
      <c r="L53">
        <v>0</v>
      </c>
      <c r="M53">
        <v>0</v>
      </c>
      <c r="N53">
        <v>0</v>
      </c>
      <c r="O53">
        <v>0</v>
      </c>
      <c r="P53">
        <v>0</v>
      </c>
      <c r="Q53" s="59">
        <v>0</v>
      </c>
      <c r="R53">
        <v>0</v>
      </c>
      <c r="S53">
        <v>0</v>
      </c>
      <c r="T53">
        <v>0</v>
      </c>
      <c r="U53">
        <v>0</v>
      </c>
      <c r="V53">
        <v>0</v>
      </c>
      <c r="W53">
        <v>0</v>
      </c>
      <c r="X53">
        <v>0</v>
      </c>
    </row>
    <row r="54" spans="1:24" x14ac:dyDescent="0.25">
      <c r="A54" s="1" t="s">
        <v>119</v>
      </c>
      <c r="B54" t="s">
        <v>56</v>
      </c>
      <c r="C54" t="s">
        <v>57</v>
      </c>
      <c r="D54" s="23" t="s">
        <v>62</v>
      </c>
      <c r="E54" s="13" t="s">
        <v>63</v>
      </c>
      <c r="F54" s="28">
        <v>0</v>
      </c>
      <c r="G54" s="28">
        <v>0</v>
      </c>
      <c r="H54">
        <v>0</v>
      </c>
      <c r="I54">
        <v>0</v>
      </c>
      <c r="J54">
        <v>0</v>
      </c>
      <c r="K54">
        <v>0</v>
      </c>
      <c r="L54">
        <v>0</v>
      </c>
      <c r="M54">
        <v>0</v>
      </c>
      <c r="N54">
        <v>0</v>
      </c>
      <c r="O54">
        <v>0</v>
      </c>
      <c r="P54">
        <v>0</v>
      </c>
      <c r="Q54" s="59">
        <v>0</v>
      </c>
      <c r="R54">
        <v>0</v>
      </c>
      <c r="S54">
        <v>0</v>
      </c>
      <c r="T54">
        <v>0</v>
      </c>
      <c r="U54">
        <v>0</v>
      </c>
      <c r="V54">
        <v>0</v>
      </c>
      <c r="W54">
        <v>0</v>
      </c>
      <c r="X54">
        <v>0</v>
      </c>
    </row>
    <row r="55" spans="1:24" x14ac:dyDescent="0.25">
      <c r="A55" s="1" t="s">
        <v>119</v>
      </c>
      <c r="B55" t="s">
        <v>56</v>
      </c>
      <c r="C55" t="s">
        <v>57</v>
      </c>
      <c r="D55" s="22" t="s">
        <v>64</v>
      </c>
      <c r="E55" s="2" t="s">
        <v>65</v>
      </c>
      <c r="F55" s="29" t="s">
        <v>66</v>
      </c>
      <c r="G55" s="29" t="s">
        <v>66</v>
      </c>
      <c r="H55" t="s">
        <v>66</v>
      </c>
      <c r="I55" t="s">
        <v>66</v>
      </c>
      <c r="J55" t="s">
        <v>66</v>
      </c>
      <c r="K55" t="s">
        <v>110</v>
      </c>
      <c r="L55" t="s">
        <v>66</v>
      </c>
      <c r="M55" t="s">
        <v>66</v>
      </c>
      <c r="N55" t="s">
        <v>66</v>
      </c>
      <c r="O55" t="s">
        <v>66</v>
      </c>
      <c r="P55" t="s">
        <v>66</v>
      </c>
      <c r="Q55" s="62" t="s">
        <v>66</v>
      </c>
      <c r="R55" t="s">
        <v>66</v>
      </c>
      <c r="S55" t="s">
        <v>66</v>
      </c>
      <c r="T55" t="s">
        <v>66</v>
      </c>
      <c r="U55" t="s">
        <v>66</v>
      </c>
      <c r="V55" t="s">
        <v>66</v>
      </c>
      <c r="W55" t="s">
        <v>66</v>
      </c>
      <c r="X55" t="s">
        <v>66</v>
      </c>
    </row>
    <row r="56" spans="1:24" x14ac:dyDescent="0.25">
      <c r="A56" s="1" t="s">
        <v>119</v>
      </c>
      <c r="B56" t="s">
        <v>9</v>
      </c>
      <c r="C56" t="s">
        <v>67</v>
      </c>
      <c r="D56" s="22" t="s">
        <v>68</v>
      </c>
      <c r="E56" s="2" t="s">
        <v>69</v>
      </c>
      <c r="F56" s="28">
        <v>9</v>
      </c>
      <c r="G56" s="28">
        <v>4</v>
      </c>
      <c r="H56">
        <v>12</v>
      </c>
      <c r="I56">
        <v>12</v>
      </c>
      <c r="J56">
        <v>11</v>
      </c>
      <c r="K56">
        <v>12</v>
      </c>
      <c r="L56">
        <v>4</v>
      </c>
      <c r="M56">
        <v>5</v>
      </c>
      <c r="N56">
        <v>0</v>
      </c>
      <c r="O56">
        <v>1</v>
      </c>
      <c r="P56">
        <v>1</v>
      </c>
      <c r="Q56" s="59">
        <v>1</v>
      </c>
      <c r="R56">
        <v>0</v>
      </c>
      <c r="S56">
        <v>2</v>
      </c>
      <c r="T56">
        <v>2</v>
      </c>
      <c r="U56">
        <v>0</v>
      </c>
      <c r="V56">
        <v>2</v>
      </c>
      <c r="W56">
        <v>1</v>
      </c>
      <c r="X56">
        <v>1</v>
      </c>
    </row>
    <row r="57" spans="1:24" x14ac:dyDescent="0.25">
      <c r="A57" s="1" t="s">
        <v>119</v>
      </c>
      <c r="B57" t="s">
        <v>9</v>
      </c>
      <c r="C57" t="s">
        <v>67</v>
      </c>
      <c r="D57" s="22" t="s">
        <v>70</v>
      </c>
      <c r="E57" s="2" t="s">
        <v>69</v>
      </c>
      <c r="F57" s="28">
        <v>6</v>
      </c>
      <c r="G57" s="28">
        <v>7</v>
      </c>
      <c r="H57">
        <v>5</v>
      </c>
      <c r="I57">
        <v>7</v>
      </c>
      <c r="J57">
        <v>4</v>
      </c>
      <c r="K57">
        <v>3</v>
      </c>
      <c r="L57">
        <v>6</v>
      </c>
      <c r="M57">
        <v>5</v>
      </c>
      <c r="N57">
        <v>0</v>
      </c>
      <c r="O57">
        <v>1</v>
      </c>
      <c r="P57">
        <v>1</v>
      </c>
      <c r="Q57" s="59">
        <v>6</v>
      </c>
      <c r="R57">
        <v>1</v>
      </c>
      <c r="S57">
        <v>3</v>
      </c>
      <c r="T57">
        <v>4</v>
      </c>
      <c r="U57">
        <v>2</v>
      </c>
      <c r="V57">
        <v>4</v>
      </c>
      <c r="W57">
        <v>2</v>
      </c>
      <c r="X57">
        <v>5</v>
      </c>
    </row>
    <row r="58" spans="1:24" x14ac:dyDescent="0.25">
      <c r="A58" s="1" t="s">
        <v>119</v>
      </c>
      <c r="B58" t="s">
        <v>76</v>
      </c>
      <c r="C58" t="s">
        <v>67</v>
      </c>
      <c r="D58" s="22" t="s">
        <v>77</v>
      </c>
      <c r="E58" s="2" t="s">
        <v>78</v>
      </c>
      <c r="F58" s="28"/>
      <c r="G58" s="28"/>
      <c r="L58">
        <v>75</v>
      </c>
      <c r="M58">
        <v>20</v>
      </c>
      <c r="N58">
        <v>20</v>
      </c>
      <c r="O58">
        <v>20</v>
      </c>
      <c r="P58">
        <v>60</v>
      </c>
      <c r="Q58" s="59">
        <v>60</v>
      </c>
      <c r="R58">
        <v>100</v>
      </c>
      <c r="S58">
        <v>0</v>
      </c>
      <c r="T58">
        <v>0</v>
      </c>
      <c r="U58">
        <v>0</v>
      </c>
      <c r="V58">
        <v>50</v>
      </c>
      <c r="W58">
        <v>50</v>
      </c>
      <c r="X58">
        <v>100</v>
      </c>
    </row>
    <row r="59" spans="1:24" x14ac:dyDescent="0.25">
      <c r="A59" s="1" t="s">
        <v>119</v>
      </c>
      <c r="B59" t="s">
        <v>76</v>
      </c>
      <c r="C59" t="s">
        <v>47</v>
      </c>
      <c r="D59" s="22" t="s">
        <v>79</v>
      </c>
      <c r="E59" s="2" t="s">
        <v>80</v>
      </c>
      <c r="F59" s="28">
        <v>86</v>
      </c>
      <c r="G59" s="28">
        <v>86</v>
      </c>
      <c r="H59">
        <v>83</v>
      </c>
      <c r="I59">
        <v>90</v>
      </c>
      <c r="J59">
        <v>89</v>
      </c>
      <c r="K59">
        <v>93</v>
      </c>
      <c r="L59">
        <v>73</v>
      </c>
      <c r="M59">
        <v>63</v>
      </c>
      <c r="N59">
        <v>68</v>
      </c>
      <c r="O59">
        <v>62.5</v>
      </c>
      <c r="P59">
        <v>21</v>
      </c>
      <c r="Q59" s="59">
        <v>46</v>
      </c>
      <c r="R59">
        <v>71</v>
      </c>
      <c r="S59">
        <v>73</v>
      </c>
      <c r="T59">
        <v>78</v>
      </c>
      <c r="U59">
        <v>73</v>
      </c>
      <c r="V59">
        <v>82.5</v>
      </c>
      <c r="W59">
        <v>80.5</v>
      </c>
      <c r="X59">
        <v>70</v>
      </c>
    </row>
    <row r="60" spans="1:24" x14ac:dyDescent="0.25">
      <c r="A60" s="1" t="s">
        <v>119</v>
      </c>
      <c r="B60" t="s">
        <v>76</v>
      </c>
      <c r="C60" t="s">
        <v>47</v>
      </c>
      <c r="D60" s="22" t="s">
        <v>81</v>
      </c>
      <c r="E60" s="2" t="s">
        <v>82</v>
      </c>
      <c r="F60" s="28">
        <v>11</v>
      </c>
      <c r="G60" s="28">
        <v>10</v>
      </c>
      <c r="H60">
        <v>11</v>
      </c>
      <c r="I60">
        <v>5</v>
      </c>
      <c r="J60">
        <v>11</v>
      </c>
      <c r="K60">
        <v>5</v>
      </c>
      <c r="L60">
        <v>13</v>
      </c>
      <c r="M60">
        <v>27</v>
      </c>
      <c r="N60">
        <v>23</v>
      </c>
      <c r="O60">
        <v>24</v>
      </c>
      <c r="P60">
        <v>15</v>
      </c>
      <c r="Q60" s="59">
        <v>20.5</v>
      </c>
      <c r="R60">
        <v>15</v>
      </c>
      <c r="S60">
        <v>14</v>
      </c>
      <c r="T60">
        <v>9</v>
      </c>
      <c r="U60">
        <v>8</v>
      </c>
      <c r="V60">
        <v>2.5</v>
      </c>
      <c r="W60">
        <v>11</v>
      </c>
      <c r="X60">
        <v>15</v>
      </c>
    </row>
    <row r="61" spans="1:24" x14ac:dyDescent="0.25">
      <c r="A61" s="1" t="s">
        <v>119</v>
      </c>
      <c r="B61" t="s">
        <v>76</v>
      </c>
      <c r="C61" t="s">
        <v>47</v>
      </c>
      <c r="D61" s="22" t="s">
        <v>83</v>
      </c>
      <c r="E61" s="2" t="s">
        <v>84</v>
      </c>
      <c r="F61" s="28">
        <v>3</v>
      </c>
      <c r="G61" s="28">
        <v>4</v>
      </c>
      <c r="H61">
        <v>6</v>
      </c>
      <c r="I61">
        <v>5</v>
      </c>
      <c r="J61">
        <v>0</v>
      </c>
      <c r="K61">
        <v>2</v>
      </c>
      <c r="L61">
        <v>14</v>
      </c>
      <c r="M61">
        <v>10</v>
      </c>
      <c r="N61">
        <v>9</v>
      </c>
      <c r="O61">
        <v>13.5</v>
      </c>
      <c r="P61">
        <v>64</v>
      </c>
      <c r="Q61" s="59">
        <v>33.5</v>
      </c>
      <c r="R61">
        <v>14</v>
      </c>
      <c r="S61">
        <v>13</v>
      </c>
      <c r="T61">
        <v>13</v>
      </c>
      <c r="U61">
        <v>19</v>
      </c>
      <c r="V61">
        <v>15</v>
      </c>
      <c r="W61">
        <v>8.5</v>
      </c>
      <c r="X61">
        <v>15</v>
      </c>
    </row>
    <row r="62" spans="1:24" x14ac:dyDescent="0.25">
      <c r="A62" s="1" t="s">
        <v>119</v>
      </c>
      <c r="B62" t="s">
        <v>76</v>
      </c>
      <c r="C62" t="s">
        <v>47</v>
      </c>
      <c r="D62" s="22" t="s">
        <v>85</v>
      </c>
      <c r="E62" s="2" t="s">
        <v>66</v>
      </c>
      <c r="F62" s="28">
        <v>0</v>
      </c>
      <c r="G62" s="28">
        <v>0</v>
      </c>
      <c r="H62">
        <v>0</v>
      </c>
      <c r="I62">
        <v>0</v>
      </c>
      <c r="J62">
        <v>0</v>
      </c>
      <c r="K62">
        <v>0</v>
      </c>
      <c r="L62">
        <v>0</v>
      </c>
      <c r="M62">
        <v>0</v>
      </c>
      <c r="N62">
        <v>0</v>
      </c>
      <c r="O62">
        <v>0</v>
      </c>
      <c r="P62">
        <v>0</v>
      </c>
      <c r="Q62" s="59">
        <v>0</v>
      </c>
      <c r="R62">
        <v>0</v>
      </c>
      <c r="S62">
        <v>0</v>
      </c>
      <c r="T62">
        <v>0</v>
      </c>
      <c r="U62">
        <v>0</v>
      </c>
      <c r="V62">
        <v>0</v>
      </c>
      <c r="W62">
        <v>0</v>
      </c>
      <c r="X62">
        <v>0</v>
      </c>
    </row>
    <row r="63" spans="1:24" x14ac:dyDescent="0.25">
      <c r="A63" s="1" t="s">
        <v>119</v>
      </c>
      <c r="B63" t="s">
        <v>102</v>
      </c>
      <c r="C63" t="s">
        <v>47</v>
      </c>
      <c r="D63" s="22" t="s">
        <v>177</v>
      </c>
      <c r="E63" s="2" t="s">
        <v>66</v>
      </c>
      <c r="F63" s="28">
        <v>52</v>
      </c>
      <c r="G63" s="28">
        <v>64</v>
      </c>
      <c r="H63">
        <v>65</v>
      </c>
      <c r="I63">
        <v>57</v>
      </c>
      <c r="J63">
        <v>81</v>
      </c>
      <c r="K63">
        <v>71</v>
      </c>
      <c r="L63">
        <v>57</v>
      </c>
      <c r="M63">
        <v>69</v>
      </c>
      <c r="N63">
        <v>36</v>
      </c>
      <c r="O63">
        <v>81</v>
      </c>
      <c r="P63">
        <v>22</v>
      </c>
      <c r="Q63" s="59">
        <v>75</v>
      </c>
      <c r="R63">
        <v>15</v>
      </c>
      <c r="S63">
        <v>30</v>
      </c>
      <c r="T63">
        <v>78</v>
      </c>
      <c r="U63">
        <v>79</v>
      </c>
      <c r="V63">
        <v>105</v>
      </c>
      <c r="W63">
        <v>90</v>
      </c>
      <c r="X63">
        <v>125</v>
      </c>
    </row>
    <row r="64" spans="1:24" x14ac:dyDescent="0.25">
      <c r="A64" s="1" t="s">
        <v>119</v>
      </c>
      <c r="B64" t="s">
        <v>102</v>
      </c>
      <c r="C64" t="s">
        <v>47</v>
      </c>
      <c r="D64" s="22" t="s">
        <v>179</v>
      </c>
      <c r="E64" s="2" t="s">
        <v>66</v>
      </c>
      <c r="F64" s="28">
        <v>4.1500000000000004</v>
      </c>
      <c r="G64" s="28">
        <v>4.66</v>
      </c>
      <c r="H64">
        <v>6</v>
      </c>
      <c r="I64">
        <v>4.7699999999999996</v>
      </c>
      <c r="J64">
        <v>8.1</v>
      </c>
      <c r="K64">
        <v>5.92</v>
      </c>
      <c r="L64">
        <v>4.75</v>
      </c>
      <c r="M64">
        <v>6.27</v>
      </c>
      <c r="N64">
        <v>4</v>
      </c>
      <c r="O64">
        <v>7.36</v>
      </c>
      <c r="P64">
        <v>2.75</v>
      </c>
      <c r="Q64" s="59">
        <v>7.5</v>
      </c>
      <c r="R64">
        <v>1.5</v>
      </c>
      <c r="S64">
        <v>2.73</v>
      </c>
      <c r="T64">
        <v>6</v>
      </c>
      <c r="U64">
        <v>7.18</v>
      </c>
      <c r="V64">
        <v>10.5</v>
      </c>
      <c r="W64">
        <v>9</v>
      </c>
      <c r="X64">
        <v>11.36</v>
      </c>
    </row>
    <row r="65" spans="1:32" x14ac:dyDescent="0.25">
      <c r="A65" s="1" t="s">
        <v>119</v>
      </c>
      <c r="B65" t="s">
        <v>102</v>
      </c>
      <c r="C65" t="s">
        <v>47</v>
      </c>
      <c r="D65" s="22" t="s">
        <v>181</v>
      </c>
      <c r="E65" s="2" t="s">
        <v>66</v>
      </c>
      <c r="F65" s="28">
        <v>59.5</v>
      </c>
      <c r="G65" s="28">
        <v>65</v>
      </c>
      <c r="H65">
        <v>66</v>
      </c>
      <c r="I65">
        <v>62</v>
      </c>
      <c r="J65">
        <v>70</v>
      </c>
      <c r="K65">
        <v>85</v>
      </c>
      <c r="L65">
        <v>56</v>
      </c>
      <c r="M65">
        <v>53</v>
      </c>
      <c r="N65">
        <v>45</v>
      </c>
      <c r="O65">
        <v>78</v>
      </c>
      <c r="P65">
        <v>20</v>
      </c>
      <c r="Q65" s="59">
        <v>79</v>
      </c>
      <c r="R65">
        <v>38</v>
      </c>
      <c r="S65">
        <v>30</v>
      </c>
      <c r="T65">
        <v>81</v>
      </c>
      <c r="U65">
        <v>83</v>
      </c>
      <c r="V65">
        <v>93</v>
      </c>
      <c r="W65">
        <v>89</v>
      </c>
      <c r="X65">
        <v>109</v>
      </c>
    </row>
    <row r="66" spans="1:32" x14ac:dyDescent="0.25">
      <c r="A66" s="1" t="s">
        <v>119</v>
      </c>
      <c r="B66" t="s">
        <v>102</v>
      </c>
      <c r="C66" t="s">
        <v>47</v>
      </c>
      <c r="D66" s="22" t="s">
        <v>183</v>
      </c>
      <c r="E66" s="2" t="s">
        <v>66</v>
      </c>
      <c r="F66" s="28">
        <v>4.72</v>
      </c>
      <c r="G66" s="28">
        <v>5.24</v>
      </c>
      <c r="H66">
        <v>5.09</v>
      </c>
      <c r="I66">
        <v>4.8499999999999996</v>
      </c>
      <c r="J66">
        <v>7</v>
      </c>
      <c r="K66">
        <v>7.08</v>
      </c>
      <c r="L66">
        <v>4.67</v>
      </c>
      <c r="M66">
        <v>4.82</v>
      </c>
      <c r="N66">
        <v>5</v>
      </c>
      <c r="O66">
        <v>7.09</v>
      </c>
      <c r="P66">
        <v>2.5</v>
      </c>
      <c r="Q66" s="59">
        <v>7.9</v>
      </c>
      <c r="R66">
        <v>4.8</v>
      </c>
      <c r="S66">
        <v>2.73</v>
      </c>
      <c r="T66">
        <v>6.23</v>
      </c>
      <c r="U66">
        <v>7.55</v>
      </c>
      <c r="V66">
        <v>9.3000000000000007</v>
      </c>
      <c r="W66">
        <v>8.9</v>
      </c>
      <c r="X66">
        <v>9.91</v>
      </c>
    </row>
    <row r="67" spans="1:32" x14ac:dyDescent="0.25">
      <c r="A67" s="1" t="s">
        <v>119</v>
      </c>
      <c r="B67" t="s">
        <v>102</v>
      </c>
      <c r="C67" t="s">
        <v>47</v>
      </c>
      <c r="D67" s="22" t="s">
        <v>185</v>
      </c>
      <c r="E67" s="2" t="s">
        <v>66</v>
      </c>
      <c r="F67" s="28">
        <v>2.5</v>
      </c>
      <c r="G67" s="28">
        <v>3</v>
      </c>
      <c r="H67">
        <v>3</v>
      </c>
      <c r="I67">
        <v>0</v>
      </c>
      <c r="J67">
        <v>7</v>
      </c>
      <c r="K67">
        <v>12</v>
      </c>
      <c r="L67">
        <v>11</v>
      </c>
      <c r="M67">
        <v>5</v>
      </c>
      <c r="N67">
        <v>15</v>
      </c>
      <c r="O67">
        <v>15</v>
      </c>
      <c r="P67">
        <v>1</v>
      </c>
      <c r="Q67" s="59">
        <v>23</v>
      </c>
      <c r="R67">
        <v>15</v>
      </c>
      <c r="S67">
        <v>10</v>
      </c>
      <c r="T67">
        <v>12</v>
      </c>
      <c r="U67">
        <v>13</v>
      </c>
      <c r="V67">
        <v>32</v>
      </c>
      <c r="W67">
        <v>30</v>
      </c>
      <c r="X67">
        <v>23</v>
      </c>
    </row>
    <row r="68" spans="1:32" x14ac:dyDescent="0.25">
      <c r="A68" s="1" t="s">
        <v>119</v>
      </c>
      <c r="B68" t="s">
        <v>102</v>
      </c>
      <c r="C68" t="s">
        <v>47</v>
      </c>
      <c r="D68" s="22" t="s">
        <v>187</v>
      </c>
      <c r="E68" s="2" t="s">
        <v>66</v>
      </c>
      <c r="F68" s="28">
        <v>0.18</v>
      </c>
      <c r="G68" s="28">
        <v>0.18</v>
      </c>
      <c r="H68">
        <v>0.27</v>
      </c>
      <c r="I68">
        <v>0</v>
      </c>
      <c r="J68">
        <v>0.7</v>
      </c>
      <c r="K68">
        <v>1</v>
      </c>
      <c r="L68">
        <v>0.92</v>
      </c>
      <c r="M68">
        <v>0.45</v>
      </c>
      <c r="N68">
        <v>1.67</v>
      </c>
      <c r="O68">
        <v>1.36</v>
      </c>
      <c r="P68">
        <v>0.12</v>
      </c>
      <c r="Q68" s="59">
        <v>2.2999999999999998</v>
      </c>
      <c r="R68">
        <v>1.5</v>
      </c>
      <c r="S68">
        <v>0.91</v>
      </c>
      <c r="T68">
        <v>0.92</v>
      </c>
      <c r="U68">
        <v>1.18</v>
      </c>
      <c r="V68">
        <v>3.2</v>
      </c>
      <c r="W68">
        <v>3</v>
      </c>
      <c r="X68">
        <v>2.09</v>
      </c>
    </row>
    <row r="69" spans="1:32" s="17" customFormat="1" x14ac:dyDescent="0.25">
      <c r="A69" s="1" t="s">
        <v>119</v>
      </c>
      <c r="B69" s="17" t="s">
        <v>66</v>
      </c>
      <c r="C69" s="17" t="s">
        <v>66</v>
      </c>
      <c r="D69" s="17" t="s">
        <v>138</v>
      </c>
      <c r="E69" s="18" t="s">
        <v>66</v>
      </c>
      <c r="F69" s="41"/>
      <c r="G69" s="41"/>
      <c r="H69" s="40"/>
      <c r="I69" s="41"/>
      <c r="J69" s="41"/>
      <c r="K69" s="41"/>
      <c r="L69" s="41"/>
      <c r="M69" s="41"/>
      <c r="N69" s="41"/>
      <c r="O69" s="41"/>
      <c r="P69" s="41"/>
      <c r="Q69" s="60"/>
      <c r="R69" s="41"/>
      <c r="S69" s="41"/>
      <c r="T69" s="41"/>
      <c r="U69" s="41"/>
      <c r="V69" s="41"/>
      <c r="W69" s="41"/>
      <c r="X69" s="41"/>
      <c r="Y69" s="42"/>
      <c r="Z69" s="42"/>
      <c r="AA69" s="42"/>
      <c r="AB69" s="42"/>
      <c r="AC69" s="42"/>
      <c r="AD69" s="42"/>
      <c r="AE69" s="42"/>
      <c r="AF69" s="42"/>
    </row>
    <row r="70" spans="1:32" ht="15.75" customHeight="1" x14ac:dyDescent="0.25">
      <c r="L70" s="27" t="s">
        <v>221</v>
      </c>
      <c r="M70" t="s">
        <v>222</v>
      </c>
      <c r="N70" t="s">
        <v>223</v>
      </c>
      <c r="O70" t="s">
        <v>224</v>
      </c>
      <c r="P70" t="s">
        <v>225</v>
      </c>
      <c r="Q70" s="59" t="s">
        <v>226</v>
      </c>
      <c r="R70" s="75" t="s">
        <v>169</v>
      </c>
      <c r="S70" s="75" t="s">
        <v>170</v>
      </c>
      <c r="T70" s="78" t="s">
        <v>171</v>
      </c>
      <c r="U70" s="78" t="s">
        <v>220</v>
      </c>
      <c r="V70" s="78" t="s">
        <v>227</v>
      </c>
      <c r="W70" s="78" t="s">
        <v>174</v>
      </c>
      <c r="X70" s="78" t="s">
        <v>175</v>
      </c>
    </row>
    <row r="71" spans="1:32" ht="15.75" customHeight="1" x14ac:dyDescent="0.25">
      <c r="A71" s="1" t="s">
        <v>145</v>
      </c>
      <c r="B71" t="s">
        <v>46</v>
      </c>
      <c r="C71" t="s">
        <v>47</v>
      </c>
      <c r="D71" s="22" t="s">
        <v>48</v>
      </c>
      <c r="E71" s="2" t="s">
        <v>49</v>
      </c>
      <c r="F71">
        <v>38.200000000000003</v>
      </c>
      <c r="G71">
        <v>55.3</v>
      </c>
      <c r="H71">
        <v>72.5</v>
      </c>
      <c r="I71">
        <v>72</v>
      </c>
      <c r="J71">
        <v>50.9</v>
      </c>
      <c r="K71">
        <v>72.2</v>
      </c>
      <c r="L71">
        <v>72.3</v>
      </c>
      <c r="M71">
        <v>51.8</v>
      </c>
      <c r="N71">
        <v>28.6</v>
      </c>
      <c r="O71">
        <v>50</v>
      </c>
      <c r="P71">
        <v>67.3</v>
      </c>
      <c r="Q71" s="59">
        <v>0</v>
      </c>
      <c r="R71">
        <v>87</v>
      </c>
      <c r="S71">
        <v>88.6</v>
      </c>
      <c r="T71">
        <v>100</v>
      </c>
      <c r="U71">
        <v>95.6</v>
      </c>
      <c r="V71">
        <v>100</v>
      </c>
      <c r="W71">
        <v>80.400000000000006</v>
      </c>
      <c r="X71">
        <v>100</v>
      </c>
    </row>
    <row r="72" spans="1:32" ht="15.75" customHeight="1" x14ac:dyDescent="0.25">
      <c r="A72" s="1" t="s">
        <v>145</v>
      </c>
      <c r="B72" t="s">
        <v>46</v>
      </c>
      <c r="C72" t="s">
        <v>47</v>
      </c>
      <c r="D72" s="22" t="s">
        <v>50</v>
      </c>
      <c r="E72" s="2" t="s">
        <v>51</v>
      </c>
      <c r="F72">
        <v>7.39</v>
      </c>
      <c r="G72">
        <v>3.99</v>
      </c>
      <c r="H72">
        <v>12.55</v>
      </c>
      <c r="I72">
        <v>3.18</v>
      </c>
      <c r="J72">
        <v>6.08</v>
      </c>
      <c r="K72">
        <v>2.06</v>
      </c>
      <c r="L72">
        <v>8.99</v>
      </c>
      <c r="M72">
        <v>1.02</v>
      </c>
      <c r="N72">
        <v>1.41</v>
      </c>
      <c r="O72">
        <v>13.05</v>
      </c>
      <c r="P72">
        <v>8.85</v>
      </c>
      <c r="Q72" s="59">
        <v>9.5500000000000007</v>
      </c>
      <c r="R72">
        <v>6.87</v>
      </c>
      <c r="S72">
        <v>13.99</v>
      </c>
      <c r="T72">
        <v>4.9400000000000004</v>
      </c>
      <c r="U72">
        <v>5.52</v>
      </c>
      <c r="V72">
        <v>7.05</v>
      </c>
      <c r="W72">
        <v>3.19</v>
      </c>
      <c r="X72">
        <v>5.91</v>
      </c>
    </row>
    <row r="73" spans="1:32" ht="15.75" customHeight="1" x14ac:dyDescent="0.25">
      <c r="A73" s="1" t="s">
        <v>145</v>
      </c>
      <c r="B73" t="s">
        <v>46</v>
      </c>
      <c r="C73" t="s">
        <v>47</v>
      </c>
      <c r="D73" s="22" t="s">
        <v>52</v>
      </c>
      <c r="E73" s="2" t="s">
        <v>53</v>
      </c>
      <c r="F73">
        <v>32</v>
      </c>
      <c r="G73">
        <v>16</v>
      </c>
      <c r="H73">
        <v>21</v>
      </c>
      <c r="I73">
        <v>33</v>
      </c>
      <c r="J73">
        <v>41</v>
      </c>
      <c r="K73">
        <v>34</v>
      </c>
      <c r="L73">
        <v>20</v>
      </c>
      <c r="M73">
        <v>34</v>
      </c>
      <c r="N73">
        <v>38</v>
      </c>
      <c r="O73">
        <v>56</v>
      </c>
      <c r="P73">
        <v>47</v>
      </c>
      <c r="Q73" s="59">
        <v>31</v>
      </c>
      <c r="R73">
        <v>40</v>
      </c>
      <c r="S73">
        <v>32</v>
      </c>
      <c r="T73">
        <v>10</v>
      </c>
      <c r="U73">
        <v>11</v>
      </c>
      <c r="V73">
        <v>20</v>
      </c>
      <c r="W73">
        <v>15</v>
      </c>
      <c r="X73">
        <v>39</v>
      </c>
    </row>
    <row r="74" spans="1:32" ht="15.75" customHeight="1" x14ac:dyDescent="0.25">
      <c r="A74" s="1" t="s">
        <v>145</v>
      </c>
      <c r="B74" t="s">
        <v>46</v>
      </c>
      <c r="C74" t="s">
        <v>47</v>
      </c>
      <c r="D74" s="22" t="s">
        <v>54</v>
      </c>
      <c r="E74" s="2" t="s">
        <v>55</v>
      </c>
      <c r="F74">
        <v>0</v>
      </c>
      <c r="G74">
        <v>0</v>
      </c>
      <c r="H74">
        <v>0</v>
      </c>
      <c r="I74">
        <v>0</v>
      </c>
      <c r="J74">
        <v>0</v>
      </c>
      <c r="K74">
        <v>0</v>
      </c>
      <c r="L74">
        <v>0</v>
      </c>
      <c r="M74">
        <v>0</v>
      </c>
      <c r="N74">
        <v>0</v>
      </c>
      <c r="O74">
        <v>0</v>
      </c>
      <c r="P74">
        <v>0</v>
      </c>
      <c r="Q74" s="59">
        <v>0</v>
      </c>
      <c r="R74">
        <v>0</v>
      </c>
      <c r="S74">
        <v>0</v>
      </c>
      <c r="T74">
        <v>0</v>
      </c>
      <c r="U74">
        <v>0</v>
      </c>
      <c r="V74">
        <v>0</v>
      </c>
      <c r="W74">
        <v>0</v>
      </c>
      <c r="X74">
        <v>0</v>
      </c>
    </row>
    <row r="75" spans="1:32" ht="15.75" customHeight="1" x14ac:dyDescent="0.25">
      <c r="A75" s="1" t="s">
        <v>145</v>
      </c>
      <c r="B75" t="s">
        <v>56</v>
      </c>
      <c r="C75" t="s">
        <v>57</v>
      </c>
      <c r="D75" s="22" t="s">
        <v>58</v>
      </c>
      <c r="E75" s="13" t="s">
        <v>59</v>
      </c>
      <c r="F75">
        <v>0</v>
      </c>
      <c r="G75">
        <v>0</v>
      </c>
      <c r="H75">
        <v>0</v>
      </c>
      <c r="I75">
        <v>0</v>
      </c>
      <c r="J75">
        <v>0</v>
      </c>
      <c r="K75">
        <v>0</v>
      </c>
      <c r="L75">
        <v>0</v>
      </c>
      <c r="M75">
        <v>0</v>
      </c>
      <c r="N75">
        <v>0</v>
      </c>
      <c r="O75">
        <v>0</v>
      </c>
      <c r="P75">
        <v>0</v>
      </c>
      <c r="Q75" s="59">
        <v>0</v>
      </c>
      <c r="R75">
        <v>0</v>
      </c>
      <c r="S75">
        <v>0</v>
      </c>
      <c r="T75">
        <v>0</v>
      </c>
      <c r="U75">
        <v>0</v>
      </c>
      <c r="V75">
        <v>0</v>
      </c>
      <c r="W75">
        <v>0</v>
      </c>
      <c r="X75">
        <v>0</v>
      </c>
    </row>
    <row r="76" spans="1:32" ht="15.75" customHeight="1" x14ac:dyDescent="0.25">
      <c r="A76" s="1" t="s">
        <v>145</v>
      </c>
      <c r="B76" t="s">
        <v>56</v>
      </c>
      <c r="C76" t="s">
        <v>57</v>
      </c>
      <c r="D76" s="23" t="s">
        <v>60</v>
      </c>
      <c r="E76" s="13" t="s">
        <v>61</v>
      </c>
      <c r="F76">
        <v>0</v>
      </c>
      <c r="G76">
        <v>0</v>
      </c>
      <c r="H76">
        <v>0</v>
      </c>
      <c r="I76">
        <v>0</v>
      </c>
      <c r="J76">
        <v>0</v>
      </c>
      <c r="K76">
        <v>0</v>
      </c>
      <c r="L76">
        <v>0</v>
      </c>
      <c r="M76">
        <v>0</v>
      </c>
      <c r="N76">
        <v>0</v>
      </c>
      <c r="O76">
        <v>0</v>
      </c>
      <c r="P76">
        <v>0</v>
      </c>
      <c r="Q76" s="59">
        <v>0</v>
      </c>
      <c r="R76">
        <v>0</v>
      </c>
      <c r="S76">
        <v>0</v>
      </c>
      <c r="T76">
        <v>0</v>
      </c>
      <c r="U76">
        <v>0</v>
      </c>
      <c r="V76">
        <v>0</v>
      </c>
      <c r="W76">
        <v>0</v>
      </c>
      <c r="X76">
        <v>0</v>
      </c>
    </row>
    <row r="77" spans="1:32" ht="15.75" customHeight="1" x14ac:dyDescent="0.25">
      <c r="A77" s="1" t="s">
        <v>145</v>
      </c>
      <c r="B77" t="s">
        <v>56</v>
      </c>
      <c r="C77" t="s">
        <v>57</v>
      </c>
      <c r="D77" s="23" t="s">
        <v>62</v>
      </c>
      <c r="E77" s="13" t="s">
        <v>63</v>
      </c>
      <c r="F77">
        <v>0</v>
      </c>
      <c r="G77">
        <v>0</v>
      </c>
      <c r="H77">
        <v>0</v>
      </c>
      <c r="I77">
        <v>0</v>
      </c>
      <c r="J77">
        <v>0</v>
      </c>
      <c r="K77">
        <v>0</v>
      </c>
      <c r="L77">
        <v>0</v>
      </c>
      <c r="M77">
        <v>0</v>
      </c>
      <c r="N77">
        <v>0</v>
      </c>
      <c r="O77">
        <v>0</v>
      </c>
      <c r="P77">
        <v>0</v>
      </c>
      <c r="Q77" s="59">
        <v>0</v>
      </c>
      <c r="R77">
        <v>0</v>
      </c>
      <c r="S77">
        <v>0</v>
      </c>
      <c r="T77">
        <v>0</v>
      </c>
      <c r="U77">
        <v>0</v>
      </c>
      <c r="V77">
        <v>1</v>
      </c>
      <c r="W77">
        <v>0</v>
      </c>
      <c r="X77">
        <v>0</v>
      </c>
    </row>
    <row r="78" spans="1:32" ht="15.75" customHeight="1" x14ac:dyDescent="0.25">
      <c r="A78" s="1" t="s">
        <v>145</v>
      </c>
      <c r="B78" t="s">
        <v>56</v>
      </c>
      <c r="C78" t="s">
        <v>57</v>
      </c>
      <c r="D78" s="22" t="s">
        <v>64</v>
      </c>
      <c r="E78" s="2" t="s">
        <v>65</v>
      </c>
      <c r="F78" t="s">
        <v>66</v>
      </c>
      <c r="G78" t="s">
        <v>66</v>
      </c>
      <c r="H78" t="s">
        <v>66</v>
      </c>
      <c r="I78" t="s">
        <v>66</v>
      </c>
      <c r="J78" t="s">
        <v>66</v>
      </c>
      <c r="K78" t="s">
        <v>66</v>
      </c>
      <c r="L78" t="s">
        <v>66</v>
      </c>
      <c r="M78" t="s">
        <v>66</v>
      </c>
      <c r="N78" t="s">
        <v>66</v>
      </c>
      <c r="O78" t="s">
        <v>66</v>
      </c>
      <c r="P78" t="s">
        <v>66</v>
      </c>
      <c r="Q78" s="59" t="s">
        <v>66</v>
      </c>
      <c r="R78" s="59" t="s">
        <v>66</v>
      </c>
      <c r="S78" s="59" t="s">
        <v>66</v>
      </c>
      <c r="T78" s="59" t="s">
        <v>66</v>
      </c>
      <c r="U78" s="59" t="s">
        <v>66</v>
      </c>
      <c r="V78" s="59" t="s">
        <v>66</v>
      </c>
      <c r="W78" s="59" t="s">
        <v>66</v>
      </c>
      <c r="X78" s="59" t="s">
        <v>66</v>
      </c>
    </row>
    <row r="79" spans="1:32" ht="15.75" customHeight="1" x14ac:dyDescent="0.25">
      <c r="A79" s="1" t="s">
        <v>145</v>
      </c>
      <c r="B79" t="s">
        <v>9</v>
      </c>
      <c r="C79" t="s">
        <v>67</v>
      </c>
      <c r="D79" s="22" t="s">
        <v>68</v>
      </c>
      <c r="E79" s="2" t="s">
        <v>69</v>
      </c>
      <c r="F79">
        <v>3</v>
      </c>
      <c r="G79">
        <v>0</v>
      </c>
      <c r="H79">
        <v>1</v>
      </c>
      <c r="I79">
        <v>2</v>
      </c>
      <c r="J79">
        <v>1</v>
      </c>
      <c r="K79">
        <v>2</v>
      </c>
      <c r="L79">
        <v>2</v>
      </c>
      <c r="M79">
        <v>4</v>
      </c>
      <c r="N79">
        <v>4</v>
      </c>
      <c r="O79">
        <v>7</v>
      </c>
      <c r="P79">
        <v>4</v>
      </c>
      <c r="Q79" s="59">
        <v>4</v>
      </c>
      <c r="R79">
        <v>6</v>
      </c>
      <c r="S79">
        <v>1</v>
      </c>
      <c r="T79">
        <v>2</v>
      </c>
      <c r="U79">
        <v>7</v>
      </c>
      <c r="V79">
        <v>9</v>
      </c>
      <c r="W79">
        <v>4</v>
      </c>
      <c r="X79">
        <v>6</v>
      </c>
    </row>
    <row r="80" spans="1:32" ht="15.75" customHeight="1" x14ac:dyDescent="0.25">
      <c r="A80" s="1" t="s">
        <v>145</v>
      </c>
      <c r="B80" t="s">
        <v>9</v>
      </c>
      <c r="C80" t="s">
        <v>67</v>
      </c>
      <c r="D80" s="22" t="s">
        <v>70</v>
      </c>
      <c r="E80" s="2" t="s">
        <v>69</v>
      </c>
      <c r="F80">
        <v>4</v>
      </c>
      <c r="G80">
        <v>4</v>
      </c>
      <c r="H80">
        <v>0</v>
      </c>
      <c r="I80">
        <v>2</v>
      </c>
      <c r="J80">
        <v>5</v>
      </c>
      <c r="K80">
        <v>2</v>
      </c>
      <c r="L80">
        <v>0</v>
      </c>
      <c r="M80">
        <v>1</v>
      </c>
      <c r="N80">
        <v>0</v>
      </c>
      <c r="O80">
        <v>0</v>
      </c>
      <c r="P80">
        <v>4</v>
      </c>
      <c r="Q80" s="59">
        <v>4</v>
      </c>
      <c r="R80">
        <v>1</v>
      </c>
      <c r="S80">
        <v>2</v>
      </c>
      <c r="T80">
        <v>3</v>
      </c>
      <c r="U80">
        <v>1</v>
      </c>
      <c r="V80">
        <v>4</v>
      </c>
      <c r="W80">
        <v>2</v>
      </c>
      <c r="X80">
        <v>9</v>
      </c>
    </row>
    <row r="81" spans="1:32" ht="15.75" customHeight="1" x14ac:dyDescent="0.25">
      <c r="A81" s="1" t="s">
        <v>145</v>
      </c>
      <c r="B81" t="s">
        <v>76</v>
      </c>
      <c r="C81" t="s">
        <v>67</v>
      </c>
      <c r="D81" s="22" t="s">
        <v>77</v>
      </c>
      <c r="E81" s="2" t="s">
        <v>78</v>
      </c>
      <c r="Q81" s="59">
        <v>50</v>
      </c>
      <c r="R81">
        <v>100</v>
      </c>
    </row>
    <row r="82" spans="1:32" ht="15.75" customHeight="1" x14ac:dyDescent="0.25">
      <c r="A82" s="1" t="s">
        <v>145</v>
      </c>
      <c r="B82" t="s">
        <v>76</v>
      </c>
      <c r="C82" t="s">
        <v>47</v>
      </c>
      <c r="D82" s="22" t="s">
        <v>79</v>
      </c>
      <c r="E82" s="2" t="s">
        <v>80</v>
      </c>
      <c r="F82">
        <v>24</v>
      </c>
      <c r="G82">
        <v>24</v>
      </c>
      <c r="H82">
        <v>69</v>
      </c>
      <c r="I82">
        <v>61</v>
      </c>
      <c r="J82">
        <v>46</v>
      </c>
      <c r="K82">
        <v>39</v>
      </c>
      <c r="L82">
        <v>23</v>
      </c>
      <c r="M82">
        <v>26</v>
      </c>
      <c r="N82">
        <v>26</v>
      </c>
      <c r="O82">
        <v>5</v>
      </c>
      <c r="P82">
        <v>3</v>
      </c>
      <c r="Q82" s="59">
        <v>19</v>
      </c>
      <c r="R82">
        <v>27</v>
      </c>
      <c r="S82">
        <v>59</v>
      </c>
      <c r="T82">
        <v>50</v>
      </c>
      <c r="U82">
        <v>53</v>
      </c>
      <c r="V82">
        <v>39</v>
      </c>
      <c r="W82">
        <v>37</v>
      </c>
      <c r="X82">
        <v>6</v>
      </c>
    </row>
    <row r="83" spans="1:32" ht="15.75" customHeight="1" x14ac:dyDescent="0.25">
      <c r="A83" s="1" t="s">
        <v>145</v>
      </c>
      <c r="B83" t="s">
        <v>76</v>
      </c>
      <c r="C83" t="s">
        <v>47</v>
      </c>
      <c r="D83" s="22" t="s">
        <v>81</v>
      </c>
      <c r="E83" s="2" t="s">
        <v>82</v>
      </c>
      <c r="F83">
        <v>0</v>
      </c>
      <c r="G83">
        <v>3</v>
      </c>
      <c r="H83">
        <v>8</v>
      </c>
      <c r="I83">
        <v>7</v>
      </c>
      <c r="J83">
        <v>14</v>
      </c>
      <c r="K83">
        <v>0</v>
      </c>
      <c r="L83">
        <v>6</v>
      </c>
      <c r="M83">
        <v>5</v>
      </c>
      <c r="N83">
        <v>6</v>
      </c>
      <c r="O83">
        <v>15</v>
      </c>
      <c r="P83">
        <v>2</v>
      </c>
      <c r="Q83" s="59">
        <v>0</v>
      </c>
      <c r="R83">
        <v>0</v>
      </c>
      <c r="S83">
        <v>0</v>
      </c>
      <c r="T83">
        <v>0</v>
      </c>
      <c r="U83">
        <v>10</v>
      </c>
      <c r="V83">
        <v>4</v>
      </c>
      <c r="W83">
        <v>0</v>
      </c>
      <c r="X83">
        <v>9</v>
      </c>
    </row>
    <row r="84" spans="1:32" ht="15.75" customHeight="1" x14ac:dyDescent="0.25">
      <c r="A84" s="1" t="s">
        <v>145</v>
      </c>
      <c r="B84" t="s">
        <v>76</v>
      </c>
      <c r="C84" t="s">
        <v>47</v>
      </c>
      <c r="D84" s="22" t="s">
        <v>83</v>
      </c>
      <c r="E84" s="2" t="s">
        <v>84</v>
      </c>
      <c r="F84">
        <v>76</v>
      </c>
      <c r="G84">
        <v>73</v>
      </c>
      <c r="H84">
        <v>23</v>
      </c>
      <c r="I84">
        <v>32</v>
      </c>
      <c r="J84">
        <v>40</v>
      </c>
      <c r="K84">
        <v>61</v>
      </c>
      <c r="L84">
        <v>71</v>
      </c>
      <c r="M84">
        <v>69</v>
      </c>
      <c r="N84">
        <v>68</v>
      </c>
      <c r="O84">
        <v>80</v>
      </c>
      <c r="P84">
        <v>95</v>
      </c>
      <c r="Q84" s="59">
        <v>81</v>
      </c>
      <c r="R84">
        <v>73</v>
      </c>
      <c r="S84">
        <v>41</v>
      </c>
      <c r="T84">
        <v>50</v>
      </c>
      <c r="U84">
        <v>37</v>
      </c>
      <c r="V84">
        <v>57</v>
      </c>
      <c r="W84">
        <v>63</v>
      </c>
      <c r="X84">
        <v>85</v>
      </c>
    </row>
    <row r="85" spans="1:32" ht="15.75" customHeight="1" x14ac:dyDescent="0.25">
      <c r="A85" s="1" t="s">
        <v>145</v>
      </c>
      <c r="B85" t="s">
        <v>76</v>
      </c>
      <c r="C85" t="s">
        <v>47</v>
      </c>
      <c r="D85" s="22" t="s">
        <v>85</v>
      </c>
      <c r="E85" s="2" t="s">
        <v>66</v>
      </c>
      <c r="F85">
        <v>0</v>
      </c>
      <c r="G85">
        <v>0</v>
      </c>
      <c r="H85">
        <v>0</v>
      </c>
      <c r="I85">
        <v>0</v>
      </c>
    </row>
    <row r="86" spans="1:32" ht="15.75" customHeight="1" x14ac:dyDescent="0.25">
      <c r="A86" s="1" t="s">
        <v>145</v>
      </c>
      <c r="B86" t="s">
        <v>102</v>
      </c>
      <c r="C86" t="s">
        <v>47</v>
      </c>
      <c r="D86" s="22" t="s">
        <v>177</v>
      </c>
      <c r="E86" s="2" t="s">
        <v>66</v>
      </c>
      <c r="F86">
        <v>21</v>
      </c>
      <c r="G86">
        <v>19</v>
      </c>
      <c r="H86">
        <v>15</v>
      </c>
      <c r="I86">
        <v>32</v>
      </c>
      <c r="J86">
        <v>19</v>
      </c>
      <c r="K86">
        <v>20</v>
      </c>
      <c r="L86">
        <v>16</v>
      </c>
      <c r="M86">
        <v>20</v>
      </c>
      <c r="N86">
        <v>23</v>
      </c>
      <c r="O86">
        <v>16</v>
      </c>
      <c r="P86">
        <v>21</v>
      </c>
      <c r="Q86" s="59">
        <v>18</v>
      </c>
      <c r="R86">
        <v>10</v>
      </c>
      <c r="S86">
        <v>6</v>
      </c>
      <c r="T86">
        <v>17</v>
      </c>
      <c r="U86">
        <v>31</v>
      </c>
      <c r="V86">
        <v>50</v>
      </c>
      <c r="W86">
        <v>20</v>
      </c>
      <c r="X86">
        <v>33</v>
      </c>
    </row>
    <row r="87" spans="1:32" ht="15.75" customHeight="1" x14ac:dyDescent="0.25">
      <c r="A87" s="1" t="s">
        <v>145</v>
      </c>
      <c r="B87" t="s">
        <v>102</v>
      </c>
      <c r="C87" t="s">
        <v>47</v>
      </c>
      <c r="D87" s="22" t="s">
        <v>179</v>
      </c>
      <c r="E87" s="2" t="s">
        <v>66</v>
      </c>
      <c r="F87">
        <v>2.62</v>
      </c>
      <c r="G87">
        <v>2.38</v>
      </c>
      <c r="H87">
        <v>2.14</v>
      </c>
      <c r="I87">
        <v>4</v>
      </c>
      <c r="J87">
        <v>2.71</v>
      </c>
      <c r="K87">
        <v>3.33</v>
      </c>
      <c r="L87">
        <v>2.29</v>
      </c>
      <c r="M87">
        <v>2.5</v>
      </c>
      <c r="N87">
        <v>3.29</v>
      </c>
      <c r="O87">
        <v>2.29</v>
      </c>
      <c r="P87">
        <v>2.9</v>
      </c>
      <c r="Q87" s="59">
        <v>2.25</v>
      </c>
      <c r="R87">
        <v>1.25</v>
      </c>
      <c r="S87">
        <v>1</v>
      </c>
      <c r="T87">
        <v>2.83</v>
      </c>
      <c r="U87">
        <v>5.17</v>
      </c>
      <c r="V87">
        <v>6.25</v>
      </c>
      <c r="W87">
        <v>2.5</v>
      </c>
      <c r="X87">
        <v>4.12</v>
      </c>
    </row>
    <row r="88" spans="1:32" ht="15.75" customHeight="1" x14ac:dyDescent="0.25">
      <c r="A88" s="1" t="s">
        <v>145</v>
      </c>
      <c r="B88" t="s">
        <v>102</v>
      </c>
      <c r="C88" t="s">
        <v>47</v>
      </c>
      <c r="D88" s="22" t="s">
        <v>181</v>
      </c>
      <c r="E88" s="2" t="s">
        <v>66</v>
      </c>
      <c r="F88">
        <v>27</v>
      </c>
      <c r="G88">
        <v>23</v>
      </c>
      <c r="H88">
        <v>14</v>
      </c>
      <c r="I88">
        <v>37</v>
      </c>
      <c r="J88">
        <v>12</v>
      </c>
      <c r="K88">
        <v>12</v>
      </c>
      <c r="L88">
        <v>11</v>
      </c>
      <c r="M88">
        <v>17</v>
      </c>
      <c r="N88">
        <v>26</v>
      </c>
      <c r="O88">
        <v>16</v>
      </c>
      <c r="P88">
        <v>21</v>
      </c>
      <c r="Q88" s="59">
        <v>19</v>
      </c>
      <c r="R88">
        <v>14</v>
      </c>
      <c r="S88">
        <v>2</v>
      </c>
      <c r="T88">
        <v>14</v>
      </c>
      <c r="U88">
        <v>28</v>
      </c>
      <c r="V88">
        <v>41</v>
      </c>
      <c r="W88">
        <v>24</v>
      </c>
      <c r="X88">
        <v>29</v>
      </c>
    </row>
    <row r="89" spans="1:32" ht="15.75" customHeight="1" x14ac:dyDescent="0.25">
      <c r="A89" s="1" t="s">
        <v>145</v>
      </c>
      <c r="B89" t="s">
        <v>102</v>
      </c>
      <c r="C89" t="s">
        <v>47</v>
      </c>
      <c r="D89" s="22" t="s">
        <v>183</v>
      </c>
      <c r="E89" s="2" t="s">
        <v>66</v>
      </c>
      <c r="F89">
        <v>3.38</v>
      </c>
      <c r="G89">
        <v>2.88</v>
      </c>
      <c r="H89">
        <v>2</v>
      </c>
      <c r="I89">
        <v>4.62</v>
      </c>
      <c r="J89">
        <v>1.71</v>
      </c>
      <c r="K89">
        <v>2</v>
      </c>
      <c r="L89">
        <v>1.57</v>
      </c>
      <c r="M89">
        <v>2.12</v>
      </c>
      <c r="N89">
        <v>3.71</v>
      </c>
      <c r="O89">
        <v>2.29</v>
      </c>
      <c r="P89">
        <v>2.9</v>
      </c>
      <c r="Q89" s="59">
        <v>2.38</v>
      </c>
      <c r="R89">
        <v>1.75</v>
      </c>
      <c r="S89">
        <v>0.33</v>
      </c>
      <c r="T89">
        <v>2.33</v>
      </c>
      <c r="U89">
        <v>4.76</v>
      </c>
      <c r="V89">
        <v>5.12</v>
      </c>
      <c r="W89">
        <v>3</v>
      </c>
      <c r="X89">
        <v>3.62</v>
      </c>
    </row>
    <row r="90" spans="1:32" ht="15.75" customHeight="1" x14ac:dyDescent="0.25">
      <c r="A90" s="1" t="s">
        <v>145</v>
      </c>
      <c r="B90" t="s">
        <v>102</v>
      </c>
      <c r="C90" t="s">
        <v>47</v>
      </c>
      <c r="D90" s="22" t="s">
        <v>185</v>
      </c>
      <c r="E90" s="2" t="s">
        <v>66</v>
      </c>
      <c r="F90">
        <v>4</v>
      </c>
      <c r="G90">
        <v>17</v>
      </c>
      <c r="H90">
        <v>3</v>
      </c>
      <c r="I90">
        <v>16</v>
      </c>
      <c r="J90">
        <v>4</v>
      </c>
      <c r="K90">
        <v>17</v>
      </c>
      <c r="L90">
        <v>13</v>
      </c>
      <c r="M90">
        <v>14</v>
      </c>
      <c r="N90">
        <v>17</v>
      </c>
      <c r="O90">
        <v>5</v>
      </c>
      <c r="P90">
        <v>6</v>
      </c>
      <c r="Q90" s="59">
        <v>18</v>
      </c>
      <c r="R90">
        <v>15</v>
      </c>
      <c r="S90">
        <v>1</v>
      </c>
      <c r="T90">
        <v>2</v>
      </c>
      <c r="U90">
        <v>7</v>
      </c>
      <c r="V90">
        <v>39</v>
      </c>
      <c r="W90">
        <v>47</v>
      </c>
      <c r="X90">
        <v>31</v>
      </c>
    </row>
    <row r="91" spans="1:32" ht="15.75" customHeight="1" x14ac:dyDescent="0.25">
      <c r="A91" s="1" t="s">
        <v>145</v>
      </c>
      <c r="B91" t="s">
        <v>102</v>
      </c>
      <c r="C91" t="s">
        <v>47</v>
      </c>
      <c r="D91" s="22" t="s">
        <v>187</v>
      </c>
      <c r="E91" s="2" t="s">
        <v>66</v>
      </c>
      <c r="F91">
        <v>0.66</v>
      </c>
      <c r="G91">
        <v>2.83</v>
      </c>
      <c r="H91">
        <v>0.43</v>
      </c>
      <c r="I91">
        <v>2</v>
      </c>
      <c r="J91">
        <v>0.56999999999999995</v>
      </c>
      <c r="K91">
        <v>2.83</v>
      </c>
      <c r="L91">
        <v>1.86</v>
      </c>
      <c r="M91">
        <v>1.75</v>
      </c>
      <c r="N91">
        <v>2.42</v>
      </c>
      <c r="O91">
        <v>0.71</v>
      </c>
      <c r="P91">
        <v>0.86</v>
      </c>
      <c r="Q91" s="59">
        <v>2.25</v>
      </c>
      <c r="R91">
        <v>1.88</v>
      </c>
      <c r="S91">
        <v>0.17</v>
      </c>
      <c r="T91">
        <v>0.33</v>
      </c>
      <c r="U91">
        <v>1.17</v>
      </c>
      <c r="V91">
        <v>4.88</v>
      </c>
      <c r="W91">
        <v>5.88</v>
      </c>
      <c r="X91">
        <v>3.88</v>
      </c>
    </row>
    <row r="92" spans="1:32" s="17" customFormat="1" x14ac:dyDescent="0.25">
      <c r="A92" s="1" t="s">
        <v>145</v>
      </c>
      <c r="B92" s="17" t="s">
        <v>66</v>
      </c>
      <c r="C92" s="17" t="s">
        <v>66</v>
      </c>
      <c r="D92" s="17" t="s">
        <v>138</v>
      </c>
      <c r="E92" s="18" t="s">
        <v>66</v>
      </c>
      <c r="F92" s="41"/>
      <c r="G92" s="41"/>
      <c r="H92" s="40"/>
      <c r="I92" s="41"/>
      <c r="J92" s="41"/>
      <c r="K92" s="41"/>
      <c r="L92" s="41"/>
      <c r="M92" s="41"/>
      <c r="N92" s="41"/>
      <c r="O92" s="41"/>
      <c r="P92" s="41"/>
      <c r="Q92" s="60"/>
      <c r="R92" s="41"/>
      <c r="S92" s="41"/>
      <c r="T92" s="41"/>
      <c r="U92" s="41"/>
      <c r="V92" s="41"/>
      <c r="W92" s="41"/>
      <c r="X92" s="41"/>
      <c r="Y92" s="42"/>
      <c r="Z92" s="42"/>
      <c r="AA92" s="42"/>
      <c r="AB92" s="42"/>
      <c r="AC92" s="42"/>
      <c r="AD92" s="42"/>
      <c r="AE92" s="42"/>
      <c r="AF92" s="42"/>
    </row>
    <row r="93" spans="1:32" ht="15.75" customHeight="1" x14ac:dyDescent="0.25">
      <c r="J93" s="27" t="s">
        <v>228</v>
      </c>
      <c r="K93" s="27" t="s">
        <v>229</v>
      </c>
      <c r="L93" s="27" t="s">
        <v>230</v>
      </c>
      <c r="M93" t="s">
        <v>231</v>
      </c>
      <c r="N93" t="s">
        <v>232</v>
      </c>
      <c r="O93" t="s">
        <v>233</v>
      </c>
      <c r="P93" t="s">
        <v>234</v>
      </c>
      <c r="Q93" s="59" t="s">
        <v>235</v>
      </c>
      <c r="R93" s="75" t="s">
        <v>169</v>
      </c>
      <c r="S93" s="75" t="s">
        <v>170</v>
      </c>
      <c r="T93" s="78" t="s">
        <v>171</v>
      </c>
      <c r="U93" s="78" t="s">
        <v>172</v>
      </c>
      <c r="V93" s="78" t="s">
        <v>173</v>
      </c>
      <c r="W93" s="78" t="s">
        <v>174</v>
      </c>
      <c r="X93" s="78" t="s">
        <v>175</v>
      </c>
    </row>
    <row r="94" spans="1:32" ht="15.75" customHeight="1" x14ac:dyDescent="0.25">
      <c r="A94" s="1" t="s">
        <v>137</v>
      </c>
      <c r="B94" t="s">
        <v>46</v>
      </c>
      <c r="C94" t="s">
        <v>47</v>
      </c>
      <c r="D94" s="22" t="s">
        <v>48</v>
      </c>
      <c r="E94" s="2" t="s">
        <v>49</v>
      </c>
      <c r="F94" s="50"/>
      <c r="J94" s="50">
        <v>0.46700000000000003</v>
      </c>
      <c r="K94" s="50">
        <v>0.46400000000000002</v>
      </c>
      <c r="L94" s="50">
        <v>0.64700000000000002</v>
      </c>
      <c r="M94" s="50">
        <v>0.85</v>
      </c>
      <c r="N94" s="50">
        <v>0.71399999999999997</v>
      </c>
      <c r="O94" s="50">
        <v>0.67600000000000005</v>
      </c>
      <c r="P94" s="50">
        <v>0.81799999999999995</v>
      </c>
      <c r="Q94" s="63">
        <v>0.61099999999999999</v>
      </c>
      <c r="R94" s="50">
        <v>0.22800000000000001</v>
      </c>
      <c r="S94" s="63">
        <v>0.82399999999999995</v>
      </c>
      <c r="T94" s="63">
        <v>0.75600000000000001</v>
      </c>
      <c r="U94" s="63">
        <v>0.84299999999999997</v>
      </c>
      <c r="V94" s="63">
        <v>0.70399999999999996</v>
      </c>
      <c r="W94" s="63">
        <v>0.74099999999999999</v>
      </c>
      <c r="X94" s="63">
        <v>0.78200000000000003</v>
      </c>
    </row>
    <row r="95" spans="1:32" ht="15.75" customHeight="1" x14ac:dyDescent="0.25">
      <c r="A95" s="1" t="s">
        <v>137</v>
      </c>
      <c r="B95" t="s">
        <v>46</v>
      </c>
      <c r="C95" t="s">
        <v>47</v>
      </c>
      <c r="D95" s="22" t="s">
        <v>50</v>
      </c>
      <c r="E95" s="2" t="s">
        <v>51</v>
      </c>
      <c r="J95">
        <v>9.39</v>
      </c>
      <c r="K95">
        <v>9.31</v>
      </c>
      <c r="L95">
        <v>7.68</v>
      </c>
      <c r="M95">
        <v>7.01</v>
      </c>
      <c r="N95">
        <v>10.23</v>
      </c>
      <c r="O95">
        <v>7.86</v>
      </c>
      <c r="P95">
        <v>6.07</v>
      </c>
      <c r="Q95" s="59">
        <v>7.8</v>
      </c>
      <c r="R95">
        <v>7.28</v>
      </c>
      <c r="S95" s="59">
        <v>11.02</v>
      </c>
      <c r="T95" s="59">
        <v>4.09</v>
      </c>
      <c r="U95" s="59">
        <v>7.93</v>
      </c>
      <c r="V95" s="59">
        <v>5.28</v>
      </c>
      <c r="W95" s="59">
        <v>10.44</v>
      </c>
      <c r="X95" s="59">
        <v>7.81</v>
      </c>
    </row>
    <row r="96" spans="1:32" ht="15.75" customHeight="1" x14ac:dyDescent="0.25">
      <c r="A96" s="1" t="s">
        <v>137</v>
      </c>
      <c r="B96" t="s">
        <v>46</v>
      </c>
      <c r="C96" t="s">
        <v>47</v>
      </c>
      <c r="D96" s="22" t="s">
        <v>52</v>
      </c>
      <c r="E96" s="2" t="s">
        <v>53</v>
      </c>
      <c r="F96" s="38"/>
      <c r="J96" s="38">
        <v>0.28999999999999998</v>
      </c>
      <c r="K96" s="38">
        <v>0.5</v>
      </c>
      <c r="L96" s="38">
        <v>0.06</v>
      </c>
      <c r="M96" s="38">
        <v>0.2</v>
      </c>
      <c r="N96" s="38">
        <v>0.51</v>
      </c>
      <c r="O96" s="38">
        <v>0.26</v>
      </c>
      <c r="P96" s="38">
        <v>0.22</v>
      </c>
      <c r="Q96" s="61">
        <v>0.26</v>
      </c>
      <c r="R96" s="38">
        <v>0.33</v>
      </c>
      <c r="S96" s="61">
        <v>0.53</v>
      </c>
      <c r="T96" s="61">
        <v>0.4</v>
      </c>
      <c r="U96" s="61">
        <v>0.1</v>
      </c>
      <c r="V96" s="61">
        <v>0.08</v>
      </c>
      <c r="W96" s="61">
        <v>0.1</v>
      </c>
      <c r="X96" s="61">
        <v>0</v>
      </c>
    </row>
    <row r="97" spans="1:24" ht="15.75" customHeight="1" x14ac:dyDescent="0.25">
      <c r="A97" s="1" t="s">
        <v>137</v>
      </c>
      <c r="B97" t="s">
        <v>46</v>
      </c>
      <c r="C97" t="s">
        <v>47</v>
      </c>
      <c r="D97" s="22" t="s">
        <v>54</v>
      </c>
      <c r="E97" s="2" t="s">
        <v>55</v>
      </c>
      <c r="F97" s="38"/>
      <c r="J97" s="38">
        <v>0</v>
      </c>
      <c r="K97" s="38">
        <v>0</v>
      </c>
      <c r="L97" s="38">
        <v>0</v>
      </c>
      <c r="M97" s="38">
        <v>0</v>
      </c>
      <c r="N97" s="38">
        <v>0</v>
      </c>
      <c r="O97" s="38">
        <v>0</v>
      </c>
      <c r="P97" s="38">
        <v>0</v>
      </c>
      <c r="Q97" s="61">
        <v>0</v>
      </c>
      <c r="R97" s="38">
        <v>0</v>
      </c>
      <c r="S97" s="61">
        <v>0</v>
      </c>
      <c r="T97" s="61">
        <v>0</v>
      </c>
      <c r="U97" s="61">
        <v>0</v>
      </c>
      <c r="V97" s="61">
        <v>0</v>
      </c>
      <c r="W97" s="61">
        <v>0</v>
      </c>
      <c r="X97" s="61">
        <v>0</v>
      </c>
    </row>
    <row r="98" spans="1:24" ht="15.75" customHeight="1" x14ac:dyDescent="0.25">
      <c r="A98" s="1" t="s">
        <v>137</v>
      </c>
      <c r="B98" t="s">
        <v>56</v>
      </c>
      <c r="C98" t="s">
        <v>57</v>
      </c>
      <c r="D98" s="22" t="s">
        <v>58</v>
      </c>
      <c r="E98" s="13" t="s">
        <v>59</v>
      </c>
      <c r="J98">
        <v>0</v>
      </c>
      <c r="K98">
        <v>0</v>
      </c>
      <c r="L98">
        <v>0</v>
      </c>
      <c r="M98">
        <v>0</v>
      </c>
      <c r="N98">
        <v>0</v>
      </c>
      <c r="O98">
        <v>0</v>
      </c>
      <c r="P98">
        <v>0</v>
      </c>
      <c r="Q98" s="59">
        <v>0</v>
      </c>
      <c r="R98">
        <v>0</v>
      </c>
      <c r="S98" s="59">
        <v>0</v>
      </c>
      <c r="T98" s="59">
        <v>0</v>
      </c>
      <c r="U98" s="59">
        <v>0</v>
      </c>
      <c r="V98" s="59">
        <v>0</v>
      </c>
      <c r="W98" s="59">
        <v>0</v>
      </c>
      <c r="X98" s="59">
        <v>0</v>
      </c>
    </row>
    <row r="99" spans="1:24" ht="15.75" customHeight="1" x14ac:dyDescent="0.25">
      <c r="A99" s="1" t="s">
        <v>137</v>
      </c>
      <c r="B99" t="s">
        <v>56</v>
      </c>
      <c r="C99" t="s">
        <v>57</v>
      </c>
      <c r="D99" s="23" t="s">
        <v>60</v>
      </c>
      <c r="E99" s="13" t="s">
        <v>61</v>
      </c>
      <c r="J99">
        <v>0</v>
      </c>
      <c r="K99">
        <v>0</v>
      </c>
      <c r="L99">
        <v>0</v>
      </c>
      <c r="M99">
        <v>0</v>
      </c>
      <c r="N99">
        <v>0</v>
      </c>
      <c r="O99">
        <v>0</v>
      </c>
      <c r="P99">
        <v>0</v>
      </c>
      <c r="Q99" s="59">
        <v>0</v>
      </c>
      <c r="R99">
        <v>0</v>
      </c>
      <c r="S99" s="59">
        <v>0</v>
      </c>
      <c r="T99" s="59">
        <v>0</v>
      </c>
      <c r="U99" s="59">
        <v>0</v>
      </c>
      <c r="V99" s="59">
        <v>0</v>
      </c>
      <c r="W99" s="59">
        <v>0</v>
      </c>
      <c r="X99" s="59">
        <v>0</v>
      </c>
    </row>
    <row r="100" spans="1:24" ht="15.75" customHeight="1" x14ac:dyDescent="0.25">
      <c r="A100" s="1" t="s">
        <v>137</v>
      </c>
      <c r="B100" t="s">
        <v>56</v>
      </c>
      <c r="C100" t="s">
        <v>57</v>
      </c>
      <c r="D100" s="23" t="s">
        <v>62</v>
      </c>
      <c r="E100" s="13" t="s">
        <v>63</v>
      </c>
      <c r="J100">
        <v>0</v>
      </c>
      <c r="K100">
        <v>0</v>
      </c>
      <c r="L100">
        <v>0</v>
      </c>
      <c r="M100">
        <v>0</v>
      </c>
      <c r="N100">
        <v>0</v>
      </c>
      <c r="O100">
        <v>0</v>
      </c>
      <c r="P100">
        <v>0</v>
      </c>
      <c r="Q100" s="59">
        <v>0</v>
      </c>
      <c r="R100">
        <v>0</v>
      </c>
      <c r="S100" s="59">
        <v>0</v>
      </c>
      <c r="T100" s="59">
        <v>0</v>
      </c>
      <c r="U100" s="59">
        <v>0</v>
      </c>
      <c r="V100" s="59">
        <v>0</v>
      </c>
      <c r="W100" s="59">
        <v>0</v>
      </c>
      <c r="X100" s="59">
        <v>0</v>
      </c>
    </row>
    <row r="101" spans="1:24" ht="15.75" customHeight="1" x14ac:dyDescent="0.25">
      <c r="A101" s="1" t="s">
        <v>137</v>
      </c>
      <c r="B101" t="s">
        <v>56</v>
      </c>
      <c r="C101" t="s">
        <v>57</v>
      </c>
      <c r="D101" s="22" t="s">
        <v>64</v>
      </c>
      <c r="E101" s="2" t="s">
        <v>65</v>
      </c>
      <c r="J101" t="s">
        <v>66</v>
      </c>
      <c r="K101" t="s">
        <v>66</v>
      </c>
      <c r="L101" t="s">
        <v>66</v>
      </c>
      <c r="M101" t="s">
        <v>66</v>
      </c>
      <c r="N101" t="s">
        <v>66</v>
      </c>
      <c r="O101" t="s">
        <v>66</v>
      </c>
      <c r="P101" t="s">
        <v>66</v>
      </c>
      <c r="Q101" s="59" t="s">
        <v>66</v>
      </c>
      <c r="R101" t="s">
        <v>66</v>
      </c>
      <c r="S101" s="59" t="s">
        <v>66</v>
      </c>
      <c r="T101" s="59" t="s">
        <v>66</v>
      </c>
      <c r="U101" s="59" t="s">
        <v>66</v>
      </c>
      <c r="V101" s="59" t="s">
        <v>66</v>
      </c>
      <c r="W101" s="59" t="s">
        <v>66</v>
      </c>
      <c r="X101" s="59" t="s">
        <v>66</v>
      </c>
    </row>
    <row r="102" spans="1:24" ht="15.75" customHeight="1" x14ac:dyDescent="0.25">
      <c r="A102" s="1" t="s">
        <v>137</v>
      </c>
      <c r="B102" t="s">
        <v>9</v>
      </c>
      <c r="C102" t="s">
        <v>67</v>
      </c>
      <c r="D102" s="22" t="s">
        <v>68</v>
      </c>
      <c r="E102" s="2" t="s">
        <v>69</v>
      </c>
      <c r="J102">
        <v>7</v>
      </c>
      <c r="K102">
        <v>8</v>
      </c>
      <c r="L102">
        <v>5</v>
      </c>
      <c r="M102">
        <v>6</v>
      </c>
      <c r="N102">
        <v>1</v>
      </c>
      <c r="O102">
        <v>0</v>
      </c>
      <c r="P102">
        <v>0</v>
      </c>
      <c r="Q102" s="59">
        <v>0</v>
      </c>
      <c r="R102">
        <v>0</v>
      </c>
      <c r="S102" s="59">
        <v>2</v>
      </c>
      <c r="T102" s="59">
        <v>4</v>
      </c>
      <c r="U102" s="59">
        <v>0</v>
      </c>
      <c r="V102" s="59">
        <v>1</v>
      </c>
      <c r="W102" s="59">
        <v>1</v>
      </c>
      <c r="X102" s="59">
        <v>1</v>
      </c>
    </row>
    <row r="103" spans="1:24" ht="15.75" customHeight="1" x14ac:dyDescent="0.25">
      <c r="A103" s="1" t="s">
        <v>137</v>
      </c>
      <c r="B103" t="s">
        <v>9</v>
      </c>
      <c r="C103" t="s">
        <v>67</v>
      </c>
      <c r="D103" s="22" t="s">
        <v>70</v>
      </c>
      <c r="E103" s="2" t="s">
        <v>69</v>
      </c>
      <c r="J103">
        <v>8</v>
      </c>
      <c r="K103">
        <v>8</v>
      </c>
      <c r="L103">
        <v>0</v>
      </c>
      <c r="M103">
        <v>1</v>
      </c>
      <c r="N103">
        <v>1</v>
      </c>
      <c r="O103">
        <v>0</v>
      </c>
      <c r="P103">
        <v>0</v>
      </c>
      <c r="Q103" s="59">
        <v>3</v>
      </c>
      <c r="R103">
        <v>5</v>
      </c>
      <c r="S103" s="59">
        <v>2</v>
      </c>
      <c r="T103" s="59">
        <v>14</v>
      </c>
      <c r="U103" s="59">
        <v>2</v>
      </c>
      <c r="V103" s="59">
        <v>4</v>
      </c>
      <c r="W103" s="59">
        <v>5</v>
      </c>
      <c r="X103" s="59">
        <v>5</v>
      </c>
    </row>
    <row r="104" spans="1:24" ht="15.75" customHeight="1" x14ac:dyDescent="0.25">
      <c r="A104" s="1" t="s">
        <v>137</v>
      </c>
      <c r="B104" t="s">
        <v>76</v>
      </c>
      <c r="C104" t="s">
        <v>67</v>
      </c>
      <c r="D104" s="22" t="s">
        <v>77</v>
      </c>
      <c r="E104" s="2" t="s">
        <v>78</v>
      </c>
      <c r="F104" s="38"/>
      <c r="J104" s="38">
        <v>1</v>
      </c>
      <c r="K104" s="38">
        <v>1</v>
      </c>
      <c r="L104" s="38">
        <v>0</v>
      </c>
      <c r="M104" s="38">
        <v>0</v>
      </c>
      <c r="N104" s="38">
        <v>0.5</v>
      </c>
      <c r="O104" s="38">
        <v>0.5</v>
      </c>
      <c r="P104" s="38">
        <v>1</v>
      </c>
      <c r="Q104" s="61">
        <v>1</v>
      </c>
      <c r="R104" s="38">
        <v>1</v>
      </c>
      <c r="S104" s="61">
        <v>1</v>
      </c>
      <c r="T104" s="61">
        <v>0</v>
      </c>
      <c r="U104" s="61">
        <v>0</v>
      </c>
      <c r="V104" s="61">
        <v>0</v>
      </c>
      <c r="W104" s="61">
        <v>0</v>
      </c>
      <c r="X104" s="61">
        <v>0</v>
      </c>
    </row>
    <row r="105" spans="1:24" ht="15.75" customHeight="1" x14ac:dyDescent="0.25">
      <c r="A105" s="1" t="s">
        <v>137</v>
      </c>
      <c r="B105" t="s">
        <v>76</v>
      </c>
      <c r="C105" t="s">
        <v>47</v>
      </c>
      <c r="D105" s="22" t="s">
        <v>79</v>
      </c>
      <c r="E105" s="2" t="s">
        <v>80</v>
      </c>
      <c r="F105" s="38"/>
      <c r="J105" s="38">
        <v>0.13</v>
      </c>
      <c r="K105" s="38">
        <v>0.25</v>
      </c>
      <c r="L105" s="38">
        <v>0.56000000000000005</v>
      </c>
      <c r="M105" s="38">
        <v>0.78</v>
      </c>
      <c r="N105" s="38">
        <v>0.7</v>
      </c>
      <c r="O105" s="38">
        <v>0.82</v>
      </c>
      <c r="P105" s="38">
        <v>0.61</v>
      </c>
      <c r="Q105" s="61">
        <v>0.5</v>
      </c>
      <c r="R105" s="38">
        <v>0.49</v>
      </c>
      <c r="S105" s="61">
        <v>0.26</v>
      </c>
      <c r="T105" s="61">
        <v>0.57999999999999996</v>
      </c>
      <c r="U105" s="61">
        <v>0.72</v>
      </c>
      <c r="V105" s="61">
        <v>0.7</v>
      </c>
      <c r="W105" s="61">
        <v>0.67</v>
      </c>
      <c r="X105" s="61">
        <v>0.83</v>
      </c>
    </row>
    <row r="106" spans="1:24" ht="15.75" customHeight="1" x14ac:dyDescent="0.25">
      <c r="A106" s="1" t="s">
        <v>137</v>
      </c>
      <c r="B106" t="s">
        <v>76</v>
      </c>
      <c r="C106" t="s">
        <v>47</v>
      </c>
      <c r="D106" s="22" t="s">
        <v>81</v>
      </c>
      <c r="E106" s="2" t="s">
        <v>82</v>
      </c>
      <c r="F106" s="38"/>
      <c r="J106" s="38">
        <v>0.62</v>
      </c>
      <c r="K106" s="38">
        <v>0.41</v>
      </c>
      <c r="L106" s="38">
        <v>0.39</v>
      </c>
      <c r="M106" s="38">
        <v>0.15</v>
      </c>
      <c r="N106" s="38">
        <v>0.3</v>
      </c>
      <c r="O106" s="38">
        <v>0.11</v>
      </c>
      <c r="P106" s="38">
        <v>0.22</v>
      </c>
      <c r="Q106" s="61">
        <v>0.25</v>
      </c>
      <c r="R106" s="38">
        <v>0.3</v>
      </c>
      <c r="S106" s="61">
        <v>0.31</v>
      </c>
      <c r="T106" s="61">
        <v>0.23</v>
      </c>
      <c r="U106" s="61">
        <v>0.13</v>
      </c>
      <c r="V106" s="61">
        <v>0.16</v>
      </c>
      <c r="W106" s="61">
        <v>0.12</v>
      </c>
      <c r="X106" s="61">
        <v>0.16</v>
      </c>
    </row>
    <row r="107" spans="1:24" ht="15.75" customHeight="1" x14ac:dyDescent="0.25">
      <c r="A107" s="1" t="s">
        <v>137</v>
      </c>
      <c r="B107" t="s">
        <v>76</v>
      </c>
      <c r="C107" t="s">
        <v>47</v>
      </c>
      <c r="D107" s="22" t="s">
        <v>83</v>
      </c>
      <c r="E107" s="2" t="s">
        <v>84</v>
      </c>
      <c r="F107" s="38"/>
      <c r="J107" s="38">
        <v>0.25</v>
      </c>
      <c r="K107" s="38">
        <v>0.34</v>
      </c>
      <c r="L107" s="38">
        <v>0.05</v>
      </c>
      <c r="M107" s="38">
        <v>7.0000000000000007E-2</v>
      </c>
      <c r="N107" s="38">
        <v>0</v>
      </c>
      <c r="O107" s="38">
        <v>7.0000000000000007E-2</v>
      </c>
      <c r="P107" s="38">
        <v>0.17</v>
      </c>
      <c r="Q107" s="61">
        <v>0.25</v>
      </c>
      <c r="R107" s="38">
        <v>0.21</v>
      </c>
      <c r="S107" s="61">
        <v>0.43</v>
      </c>
      <c r="T107" s="61">
        <v>0.19</v>
      </c>
      <c r="U107" s="61">
        <v>0.15</v>
      </c>
      <c r="V107" s="61">
        <v>0.14000000000000001</v>
      </c>
      <c r="W107" s="61">
        <v>0.21</v>
      </c>
      <c r="X107" s="61">
        <v>0.01</v>
      </c>
    </row>
    <row r="108" spans="1:24" ht="15.75" customHeight="1" x14ac:dyDescent="0.25">
      <c r="A108" s="1" t="s">
        <v>137</v>
      </c>
      <c r="B108" t="s">
        <v>76</v>
      </c>
      <c r="C108" t="s">
        <v>47</v>
      </c>
      <c r="D108" s="22" t="s">
        <v>85</v>
      </c>
      <c r="E108" s="2" t="s">
        <v>66</v>
      </c>
      <c r="F108" s="38"/>
      <c r="J108" s="38">
        <v>0</v>
      </c>
      <c r="K108" s="38">
        <v>0</v>
      </c>
      <c r="L108" s="38">
        <v>0</v>
      </c>
      <c r="M108" s="38">
        <v>0</v>
      </c>
      <c r="N108" s="38">
        <v>0</v>
      </c>
      <c r="O108" s="38">
        <v>0</v>
      </c>
      <c r="P108" s="38">
        <v>0</v>
      </c>
      <c r="Q108" s="61">
        <v>0</v>
      </c>
      <c r="R108" s="38">
        <v>0</v>
      </c>
      <c r="S108" s="61">
        <v>0</v>
      </c>
      <c r="T108" s="61">
        <v>0</v>
      </c>
      <c r="U108" s="61">
        <v>0</v>
      </c>
      <c r="V108" s="61">
        <v>0</v>
      </c>
      <c r="W108" s="61">
        <v>0</v>
      </c>
      <c r="X108" s="61">
        <v>0</v>
      </c>
    </row>
    <row r="109" spans="1:24" ht="15.75" customHeight="1" x14ac:dyDescent="0.25">
      <c r="A109" s="1" t="s">
        <v>137</v>
      </c>
      <c r="B109" t="s">
        <v>102</v>
      </c>
      <c r="C109" t="s">
        <v>47</v>
      </c>
      <c r="D109" s="22" t="s">
        <v>177</v>
      </c>
      <c r="E109" s="2" t="s">
        <v>66</v>
      </c>
      <c r="F109" s="38"/>
      <c r="J109" s="55">
        <v>69</v>
      </c>
      <c r="K109" s="55">
        <v>42.5</v>
      </c>
      <c r="L109" s="55">
        <v>61</v>
      </c>
      <c r="M109" s="55">
        <v>46</v>
      </c>
      <c r="N109" s="55">
        <v>43</v>
      </c>
      <c r="O109" s="55">
        <v>22</v>
      </c>
      <c r="P109" s="55">
        <v>21</v>
      </c>
      <c r="Q109" s="64">
        <v>12.5</v>
      </c>
      <c r="R109" s="55">
        <v>17</v>
      </c>
      <c r="S109" s="64">
        <v>12.5</v>
      </c>
      <c r="T109" s="64">
        <v>53</v>
      </c>
      <c r="U109" s="64">
        <v>52</v>
      </c>
      <c r="V109" s="64">
        <v>32</v>
      </c>
      <c r="W109" s="64">
        <v>41</v>
      </c>
      <c r="X109" s="64">
        <v>47</v>
      </c>
    </row>
    <row r="110" spans="1:24" ht="15.75" customHeight="1" x14ac:dyDescent="0.25">
      <c r="A110" s="1" t="s">
        <v>137</v>
      </c>
      <c r="B110" t="s">
        <v>102</v>
      </c>
      <c r="C110" t="s">
        <v>47</v>
      </c>
      <c r="D110" s="22" t="s">
        <v>179</v>
      </c>
      <c r="E110" s="2" t="s">
        <v>66</v>
      </c>
      <c r="F110" s="38"/>
      <c r="J110" s="55">
        <v>6.27</v>
      </c>
      <c r="K110" s="55">
        <v>4.1399999999999997</v>
      </c>
      <c r="L110" s="55">
        <v>6.1</v>
      </c>
      <c r="M110" s="55">
        <v>4.5999999999999996</v>
      </c>
      <c r="N110" s="55">
        <v>4.12</v>
      </c>
      <c r="O110" s="55">
        <v>2.33</v>
      </c>
      <c r="P110" s="55">
        <v>2.36</v>
      </c>
      <c r="Q110" s="64">
        <v>0.94</v>
      </c>
      <c r="R110" s="55">
        <v>1.89</v>
      </c>
      <c r="S110" s="64">
        <v>0.94</v>
      </c>
      <c r="T110" s="64">
        <v>5.89</v>
      </c>
      <c r="U110" s="64">
        <v>6.48</v>
      </c>
      <c r="V110" s="64">
        <v>4</v>
      </c>
      <c r="W110" s="64">
        <v>4.8</v>
      </c>
      <c r="X110" s="64">
        <v>4.16</v>
      </c>
    </row>
    <row r="111" spans="1:24" ht="15.75" customHeight="1" x14ac:dyDescent="0.25">
      <c r="A111" s="1" t="s">
        <v>137</v>
      </c>
      <c r="B111" t="s">
        <v>102</v>
      </c>
      <c r="C111" t="s">
        <v>47</v>
      </c>
      <c r="D111" s="22" t="s">
        <v>181</v>
      </c>
      <c r="E111" s="2" t="s">
        <v>66</v>
      </c>
      <c r="F111" s="38"/>
      <c r="J111" s="55">
        <v>75</v>
      </c>
      <c r="K111" s="55">
        <v>45.5</v>
      </c>
      <c r="L111" s="55">
        <v>87</v>
      </c>
      <c r="M111" s="55">
        <v>46</v>
      </c>
      <c r="N111" s="55">
        <v>49.5</v>
      </c>
      <c r="O111" s="55">
        <v>29</v>
      </c>
      <c r="P111" s="55">
        <v>23</v>
      </c>
      <c r="Q111" s="64">
        <v>15</v>
      </c>
      <c r="R111" s="55">
        <v>16</v>
      </c>
      <c r="S111" s="64">
        <v>31</v>
      </c>
      <c r="T111" s="64">
        <v>55</v>
      </c>
      <c r="U111" s="64">
        <v>46</v>
      </c>
      <c r="V111" s="64">
        <v>30</v>
      </c>
      <c r="W111" s="64">
        <v>45</v>
      </c>
      <c r="X111" s="64">
        <v>49</v>
      </c>
    </row>
    <row r="112" spans="1:24" ht="15.75" customHeight="1" x14ac:dyDescent="0.25">
      <c r="A112" s="1" t="s">
        <v>137</v>
      </c>
      <c r="B112" t="s">
        <v>102</v>
      </c>
      <c r="C112" t="s">
        <v>47</v>
      </c>
      <c r="D112" s="22" t="s">
        <v>183</v>
      </c>
      <c r="E112" s="2" t="s">
        <v>66</v>
      </c>
      <c r="F112" s="38"/>
      <c r="J112" s="55">
        <v>6.82</v>
      </c>
      <c r="K112" s="55">
        <v>4.41</v>
      </c>
      <c r="L112" s="55">
        <v>8.6999999999999993</v>
      </c>
      <c r="M112" s="55">
        <v>4.5999999999999996</v>
      </c>
      <c r="N112" s="55">
        <v>4.72</v>
      </c>
      <c r="O112" s="55">
        <v>2.7</v>
      </c>
      <c r="P112" s="55">
        <v>2.48</v>
      </c>
      <c r="Q112" s="64">
        <v>1.24</v>
      </c>
      <c r="R112" s="55">
        <v>1.78</v>
      </c>
      <c r="S112" s="64">
        <v>3.88</v>
      </c>
      <c r="T112" s="64">
        <v>6.11</v>
      </c>
      <c r="U112" s="64">
        <v>5.76</v>
      </c>
      <c r="V112" s="64">
        <v>3.76</v>
      </c>
      <c r="W112" s="64">
        <v>5.24</v>
      </c>
      <c r="X112" s="64">
        <v>5.28</v>
      </c>
    </row>
    <row r="113" spans="1:32" ht="15.75" customHeight="1" x14ac:dyDescent="0.25">
      <c r="A113" s="1" t="s">
        <v>137</v>
      </c>
      <c r="B113" t="s">
        <v>102</v>
      </c>
      <c r="C113" t="s">
        <v>47</v>
      </c>
      <c r="D113" s="22" t="s">
        <v>185</v>
      </c>
      <c r="E113" s="2" t="s">
        <v>66</v>
      </c>
      <c r="F113" s="38"/>
      <c r="J113" s="55">
        <v>25</v>
      </c>
      <c r="K113" s="55">
        <v>20</v>
      </c>
      <c r="L113" s="55">
        <v>88</v>
      </c>
      <c r="M113" s="55">
        <v>41</v>
      </c>
      <c r="N113" s="55">
        <v>41</v>
      </c>
      <c r="O113" s="55">
        <v>24</v>
      </c>
      <c r="P113" s="55">
        <v>11</v>
      </c>
      <c r="Q113" s="64">
        <v>6.5</v>
      </c>
      <c r="R113" s="55">
        <v>11</v>
      </c>
      <c r="S113" s="64">
        <v>24</v>
      </c>
      <c r="T113" s="64">
        <v>37</v>
      </c>
      <c r="U113" s="64">
        <v>21</v>
      </c>
      <c r="V113" s="64">
        <v>24</v>
      </c>
      <c r="W113" s="64">
        <v>102</v>
      </c>
      <c r="X113" s="64">
        <v>87</v>
      </c>
    </row>
    <row r="114" spans="1:32" ht="15.75" customHeight="1" x14ac:dyDescent="0.25">
      <c r="A114" s="1" t="s">
        <v>137</v>
      </c>
      <c r="B114" t="s">
        <v>102</v>
      </c>
      <c r="C114" t="s">
        <v>47</v>
      </c>
      <c r="D114" s="22" t="s">
        <v>187</v>
      </c>
      <c r="E114" s="2" t="s">
        <v>66</v>
      </c>
      <c r="F114" s="38"/>
      <c r="J114" s="55">
        <v>2.27</v>
      </c>
      <c r="K114" s="55">
        <v>2.08</v>
      </c>
      <c r="L114" s="55">
        <v>8.8000000000000007</v>
      </c>
      <c r="M114" s="55">
        <v>4.0999999999999996</v>
      </c>
      <c r="N114" s="55">
        <v>3.9</v>
      </c>
      <c r="O114" s="55">
        <v>2.37</v>
      </c>
      <c r="P114" s="55">
        <v>1.75</v>
      </c>
      <c r="Q114" s="64">
        <v>0.49</v>
      </c>
      <c r="R114" s="55">
        <v>1.22</v>
      </c>
      <c r="S114" s="64">
        <v>3</v>
      </c>
      <c r="T114" s="64">
        <v>4.1100000000000003</v>
      </c>
      <c r="U114" s="64">
        <v>2.64</v>
      </c>
      <c r="V114" s="64">
        <v>6</v>
      </c>
      <c r="W114" s="64">
        <v>5.8</v>
      </c>
      <c r="X114" s="64">
        <v>4.8</v>
      </c>
    </row>
    <row r="115" spans="1:32" s="17" customFormat="1" ht="57" x14ac:dyDescent="0.25">
      <c r="A115" s="1" t="s">
        <v>137</v>
      </c>
      <c r="B115" s="17" t="s">
        <v>66</v>
      </c>
      <c r="C115" s="17" t="s">
        <v>66</v>
      </c>
      <c r="D115" s="17" t="s">
        <v>138</v>
      </c>
      <c r="E115" s="18" t="s">
        <v>66</v>
      </c>
      <c r="F115" s="41"/>
      <c r="G115" s="41"/>
      <c r="H115" s="40"/>
      <c r="I115" s="41"/>
      <c r="J115" s="41"/>
      <c r="K115" s="41"/>
      <c r="L115" s="41" t="s">
        <v>236</v>
      </c>
      <c r="M115" s="41"/>
      <c r="N115" s="41"/>
      <c r="O115" s="41"/>
      <c r="P115" s="41"/>
      <c r="Q115" s="60" t="s">
        <v>237</v>
      </c>
      <c r="R115" s="41"/>
      <c r="S115" s="41"/>
      <c r="T115" s="41"/>
      <c r="U115" s="41"/>
      <c r="V115" s="41"/>
      <c r="W115" s="41"/>
      <c r="X115" s="41"/>
      <c r="Y115" s="42"/>
      <c r="Z115" s="42"/>
      <c r="AA115" s="42"/>
      <c r="AB115" s="42"/>
      <c r="AC115" s="42"/>
      <c r="AD115" s="42"/>
      <c r="AE115" s="42"/>
      <c r="AF115" s="42"/>
    </row>
    <row r="116" spans="1:32" ht="15.75" customHeight="1" x14ac:dyDescent="0.25">
      <c r="J116" s="27"/>
      <c r="K116" s="27"/>
      <c r="L116" s="27" t="s">
        <v>221</v>
      </c>
      <c r="M116" s="27" t="s">
        <v>222</v>
      </c>
      <c r="N116" s="27" t="s">
        <v>223</v>
      </c>
      <c r="O116" s="27" t="s">
        <v>224</v>
      </c>
      <c r="P116" s="27" t="s">
        <v>225</v>
      </c>
      <c r="Q116" s="59" t="s">
        <v>238</v>
      </c>
      <c r="R116" s="75" t="s">
        <v>169</v>
      </c>
      <c r="S116" s="75" t="s">
        <v>170</v>
      </c>
      <c r="T116" s="77" t="s">
        <v>171</v>
      </c>
      <c r="U116" s="78" t="s">
        <v>220</v>
      </c>
      <c r="V116" s="78" t="s">
        <v>227</v>
      </c>
      <c r="W116" s="78" t="s">
        <v>239</v>
      </c>
      <c r="X116" s="78" t="s">
        <v>175</v>
      </c>
    </row>
    <row r="117" spans="1:32" ht="15.75" customHeight="1" x14ac:dyDescent="0.25">
      <c r="A117" s="1" t="s">
        <v>240</v>
      </c>
      <c r="B117" t="s">
        <v>46</v>
      </c>
      <c r="C117" t="s">
        <v>47</v>
      </c>
      <c r="D117" s="22" t="s">
        <v>48</v>
      </c>
      <c r="E117" s="2" t="s">
        <v>49</v>
      </c>
      <c r="F117" s="50"/>
      <c r="J117" s="27">
        <v>69.400000000000006</v>
      </c>
      <c r="K117" s="27">
        <v>47</v>
      </c>
      <c r="L117" s="27">
        <v>61.1</v>
      </c>
      <c r="M117" s="27">
        <v>79</v>
      </c>
      <c r="N117" s="27">
        <v>31.9</v>
      </c>
      <c r="O117" s="27">
        <v>39.200000000000003</v>
      </c>
      <c r="P117" s="27">
        <v>48.9</v>
      </c>
      <c r="Q117" s="59">
        <v>74.3</v>
      </c>
      <c r="R117" s="59">
        <v>56.8</v>
      </c>
      <c r="S117" s="59">
        <v>84.8</v>
      </c>
      <c r="T117">
        <v>34</v>
      </c>
      <c r="U117" s="27">
        <v>71.8</v>
      </c>
      <c r="V117" s="27">
        <v>78.599999999999994</v>
      </c>
      <c r="W117" s="27">
        <v>58.8</v>
      </c>
      <c r="X117" s="27">
        <v>79.7</v>
      </c>
    </row>
    <row r="118" spans="1:32" ht="15.75" customHeight="1" x14ac:dyDescent="0.25">
      <c r="A118" s="1" t="s">
        <v>240</v>
      </c>
      <c r="B118" t="s">
        <v>46</v>
      </c>
      <c r="C118" t="s">
        <v>47</v>
      </c>
      <c r="D118" s="22" t="s">
        <v>50</v>
      </c>
      <c r="E118" s="2" t="s">
        <v>51</v>
      </c>
      <c r="J118" s="27">
        <v>11.89</v>
      </c>
      <c r="K118" s="27">
        <v>11.91</v>
      </c>
      <c r="L118" s="27">
        <v>5.35</v>
      </c>
      <c r="M118" s="27">
        <v>6.87</v>
      </c>
      <c r="N118" s="27">
        <v>2.54</v>
      </c>
      <c r="O118" s="27">
        <v>4.4000000000000004</v>
      </c>
      <c r="P118" s="27">
        <v>6.57</v>
      </c>
      <c r="Q118" s="59">
        <v>7.08</v>
      </c>
      <c r="R118" s="59">
        <v>7.14</v>
      </c>
      <c r="S118" s="59">
        <v>11.28</v>
      </c>
      <c r="T118">
        <v>5.41</v>
      </c>
      <c r="U118" s="27">
        <v>3.88</v>
      </c>
      <c r="V118" s="27">
        <v>4.47</v>
      </c>
      <c r="W118" s="27">
        <v>3.05</v>
      </c>
      <c r="X118" s="27">
        <v>7.42</v>
      </c>
    </row>
    <row r="119" spans="1:32" ht="15.75" customHeight="1" x14ac:dyDescent="0.25">
      <c r="A119" s="1" t="s">
        <v>240</v>
      </c>
      <c r="B119" t="s">
        <v>46</v>
      </c>
      <c r="C119" t="s">
        <v>47</v>
      </c>
      <c r="D119" s="22" t="s">
        <v>52</v>
      </c>
      <c r="E119" s="2" t="s">
        <v>53</v>
      </c>
      <c r="F119" s="38"/>
      <c r="J119" s="27">
        <v>17</v>
      </c>
      <c r="K119" s="27">
        <v>12</v>
      </c>
      <c r="L119" s="27">
        <v>28</v>
      </c>
      <c r="M119" s="27">
        <v>19</v>
      </c>
      <c r="N119" s="27">
        <v>14</v>
      </c>
      <c r="O119" s="27">
        <v>17</v>
      </c>
      <c r="P119" s="27">
        <v>16</v>
      </c>
      <c r="Q119" s="59">
        <v>14</v>
      </c>
      <c r="R119" s="59">
        <v>12</v>
      </c>
      <c r="S119">
        <v>31</v>
      </c>
      <c r="T119">
        <v>27</v>
      </c>
      <c r="U119" s="27">
        <v>40</v>
      </c>
      <c r="V119" s="27">
        <v>28</v>
      </c>
      <c r="W119" s="27">
        <v>29</v>
      </c>
      <c r="X119" s="27">
        <v>27</v>
      </c>
    </row>
    <row r="120" spans="1:32" ht="15.75" customHeight="1" x14ac:dyDescent="0.25">
      <c r="A120" s="1" t="s">
        <v>240</v>
      </c>
      <c r="B120" t="s">
        <v>46</v>
      </c>
      <c r="C120" t="s">
        <v>47</v>
      </c>
      <c r="D120" s="22" t="s">
        <v>54</v>
      </c>
      <c r="E120" s="2" t="s">
        <v>55</v>
      </c>
      <c r="F120" s="38"/>
      <c r="J120" s="27">
        <v>0</v>
      </c>
      <c r="K120" s="27">
        <v>0</v>
      </c>
      <c r="L120" s="27">
        <v>0</v>
      </c>
      <c r="M120" s="27">
        <v>0</v>
      </c>
      <c r="N120" s="27">
        <v>0</v>
      </c>
      <c r="O120" s="27">
        <v>0</v>
      </c>
      <c r="P120" s="27">
        <v>0</v>
      </c>
      <c r="Q120" s="59">
        <v>0</v>
      </c>
      <c r="R120" s="59">
        <v>0</v>
      </c>
      <c r="S120" s="59">
        <v>0</v>
      </c>
      <c r="T120">
        <v>0</v>
      </c>
      <c r="U120" s="27">
        <v>0</v>
      </c>
      <c r="V120" s="27">
        <v>0</v>
      </c>
      <c r="W120" s="27">
        <v>0</v>
      </c>
      <c r="X120" s="27">
        <v>0</v>
      </c>
    </row>
    <row r="121" spans="1:32" ht="15.75" customHeight="1" x14ac:dyDescent="0.25">
      <c r="A121" s="1" t="s">
        <v>240</v>
      </c>
      <c r="B121" t="s">
        <v>56</v>
      </c>
      <c r="C121" t="s">
        <v>57</v>
      </c>
      <c r="D121" s="22" t="s">
        <v>58</v>
      </c>
      <c r="E121" s="13" t="s">
        <v>59</v>
      </c>
      <c r="J121" s="27">
        <v>0</v>
      </c>
      <c r="K121" s="27">
        <v>0</v>
      </c>
      <c r="L121" s="27">
        <v>0</v>
      </c>
      <c r="M121" s="27">
        <v>0</v>
      </c>
      <c r="N121" s="27">
        <v>0</v>
      </c>
      <c r="O121" s="27">
        <v>0</v>
      </c>
      <c r="P121" s="27">
        <v>0</v>
      </c>
      <c r="Q121" s="59">
        <v>0</v>
      </c>
      <c r="R121" s="59">
        <v>0</v>
      </c>
      <c r="S121" s="59">
        <v>0</v>
      </c>
      <c r="T121">
        <v>0</v>
      </c>
      <c r="U121" s="27">
        <v>0</v>
      </c>
      <c r="V121" s="27">
        <v>0</v>
      </c>
      <c r="W121" s="27">
        <v>0</v>
      </c>
      <c r="X121" s="27">
        <v>0</v>
      </c>
    </row>
    <row r="122" spans="1:32" ht="15.75" customHeight="1" x14ac:dyDescent="0.25">
      <c r="A122" s="1" t="s">
        <v>240</v>
      </c>
      <c r="B122" t="s">
        <v>56</v>
      </c>
      <c r="C122" t="s">
        <v>57</v>
      </c>
      <c r="D122" s="23" t="s">
        <v>60</v>
      </c>
      <c r="E122" s="13" t="s">
        <v>61</v>
      </c>
      <c r="J122" s="27">
        <v>0</v>
      </c>
      <c r="K122" s="27">
        <v>0</v>
      </c>
      <c r="L122" s="27">
        <v>0</v>
      </c>
      <c r="M122" s="27">
        <v>0</v>
      </c>
      <c r="N122" s="27">
        <v>0</v>
      </c>
      <c r="O122" s="27">
        <v>0</v>
      </c>
      <c r="P122" s="27">
        <v>0</v>
      </c>
      <c r="Q122" s="59">
        <v>0</v>
      </c>
      <c r="R122" s="59">
        <v>0</v>
      </c>
      <c r="S122" s="59">
        <v>0</v>
      </c>
      <c r="T122">
        <v>0</v>
      </c>
      <c r="U122" s="27">
        <v>0</v>
      </c>
      <c r="V122" s="27">
        <v>0</v>
      </c>
      <c r="W122" s="27">
        <v>0</v>
      </c>
      <c r="X122" s="27">
        <v>0</v>
      </c>
    </row>
    <row r="123" spans="1:32" ht="15.75" customHeight="1" x14ac:dyDescent="0.25">
      <c r="A123" s="1" t="s">
        <v>240</v>
      </c>
      <c r="B123" t="s">
        <v>56</v>
      </c>
      <c r="C123" t="s">
        <v>57</v>
      </c>
      <c r="D123" s="23" t="s">
        <v>62</v>
      </c>
      <c r="E123" s="13" t="s">
        <v>63</v>
      </c>
      <c r="J123" s="27">
        <v>0</v>
      </c>
      <c r="K123" s="27">
        <v>0</v>
      </c>
      <c r="L123" s="27">
        <v>0</v>
      </c>
      <c r="M123" s="27">
        <v>0</v>
      </c>
      <c r="N123" s="27">
        <v>0</v>
      </c>
      <c r="O123" s="27">
        <v>0</v>
      </c>
      <c r="P123" s="27">
        <v>0</v>
      </c>
      <c r="Q123" s="59">
        <v>0</v>
      </c>
      <c r="R123" s="59">
        <v>0</v>
      </c>
      <c r="S123" s="59">
        <v>0</v>
      </c>
      <c r="T123">
        <v>0</v>
      </c>
      <c r="U123" s="27">
        <v>0</v>
      </c>
      <c r="V123" s="27">
        <v>0</v>
      </c>
      <c r="W123" s="27">
        <v>0</v>
      </c>
      <c r="X123" s="27">
        <v>0</v>
      </c>
    </row>
    <row r="124" spans="1:32" ht="15.75" customHeight="1" x14ac:dyDescent="0.25">
      <c r="A124" s="1" t="s">
        <v>240</v>
      </c>
      <c r="B124" t="s">
        <v>56</v>
      </c>
      <c r="C124" t="s">
        <v>57</v>
      </c>
      <c r="D124" s="22" t="s">
        <v>64</v>
      </c>
      <c r="E124" s="2" t="s">
        <v>65</v>
      </c>
      <c r="J124" s="27" t="s">
        <v>110</v>
      </c>
      <c r="K124" s="27" t="s">
        <v>110</v>
      </c>
      <c r="L124" s="27" t="s">
        <v>110</v>
      </c>
      <c r="M124" s="27" t="s">
        <v>110</v>
      </c>
      <c r="N124" s="27" t="s">
        <v>110</v>
      </c>
      <c r="O124" s="27" t="s">
        <v>110</v>
      </c>
      <c r="P124" s="27" t="s">
        <v>110</v>
      </c>
      <c r="Q124" s="59" t="s">
        <v>110</v>
      </c>
      <c r="R124" s="59" t="s">
        <v>110</v>
      </c>
      <c r="S124" s="59" t="s">
        <v>110</v>
      </c>
      <c r="T124" s="59" t="s">
        <v>110</v>
      </c>
      <c r="U124" s="27" t="s">
        <v>110</v>
      </c>
      <c r="V124" s="27" t="s">
        <v>110</v>
      </c>
      <c r="W124" s="27" t="s">
        <v>110</v>
      </c>
      <c r="X124" s="27" t="s">
        <v>110</v>
      </c>
    </row>
    <row r="125" spans="1:32" ht="15.75" customHeight="1" x14ac:dyDescent="0.25">
      <c r="A125" s="1" t="s">
        <v>240</v>
      </c>
      <c r="B125" t="s">
        <v>9</v>
      </c>
      <c r="C125" t="s">
        <v>67</v>
      </c>
      <c r="D125" s="22" t="s">
        <v>68</v>
      </c>
      <c r="E125" s="2" t="s">
        <v>69</v>
      </c>
      <c r="J125" s="27">
        <v>0</v>
      </c>
      <c r="K125" s="27">
        <v>0</v>
      </c>
      <c r="L125" s="27">
        <v>2</v>
      </c>
      <c r="M125" s="27">
        <v>1</v>
      </c>
      <c r="N125" s="27">
        <v>1</v>
      </c>
      <c r="O125" s="27">
        <v>0</v>
      </c>
      <c r="P125" s="27">
        <v>6</v>
      </c>
      <c r="Q125" s="59">
        <v>0</v>
      </c>
      <c r="R125" s="59">
        <v>1</v>
      </c>
      <c r="S125" s="59">
        <v>0</v>
      </c>
      <c r="T125">
        <v>0</v>
      </c>
      <c r="U125" s="27">
        <v>0</v>
      </c>
      <c r="V125" s="27">
        <v>0</v>
      </c>
      <c r="W125" s="27">
        <v>1</v>
      </c>
      <c r="X125" s="27">
        <v>1</v>
      </c>
    </row>
    <row r="126" spans="1:32" ht="15.75" customHeight="1" x14ac:dyDescent="0.25">
      <c r="A126" s="1" t="s">
        <v>240</v>
      </c>
      <c r="B126" t="s">
        <v>9</v>
      </c>
      <c r="C126" t="s">
        <v>67</v>
      </c>
      <c r="D126" s="22" t="s">
        <v>70</v>
      </c>
      <c r="E126" s="2" t="s">
        <v>69</v>
      </c>
      <c r="J126" s="27">
        <v>0</v>
      </c>
      <c r="K126" s="27">
        <v>3</v>
      </c>
      <c r="L126" s="27">
        <v>0</v>
      </c>
      <c r="M126" s="27">
        <v>0</v>
      </c>
      <c r="N126" s="27">
        <v>0</v>
      </c>
      <c r="O126" s="27">
        <v>0</v>
      </c>
      <c r="P126" s="27">
        <v>2</v>
      </c>
      <c r="Q126" s="59">
        <v>1</v>
      </c>
      <c r="R126" s="59">
        <v>0</v>
      </c>
      <c r="S126" s="59">
        <v>0</v>
      </c>
      <c r="T126">
        <v>0</v>
      </c>
      <c r="U126" s="27">
        <v>0</v>
      </c>
      <c r="V126" s="27">
        <v>0</v>
      </c>
      <c r="W126" s="27">
        <v>0</v>
      </c>
      <c r="X126" s="27">
        <v>0</v>
      </c>
    </row>
    <row r="127" spans="1:32" ht="15.75" customHeight="1" x14ac:dyDescent="0.25">
      <c r="A127" s="1" t="s">
        <v>240</v>
      </c>
      <c r="B127" t="s">
        <v>76</v>
      </c>
      <c r="C127" t="s">
        <v>67</v>
      </c>
      <c r="D127" s="22" t="s">
        <v>77</v>
      </c>
      <c r="E127" s="2" t="s">
        <v>78</v>
      </c>
      <c r="F127" s="38"/>
      <c r="J127" s="27">
        <v>100</v>
      </c>
      <c r="K127" s="27">
        <v>100</v>
      </c>
      <c r="L127" s="27">
        <v>0</v>
      </c>
      <c r="M127" s="27">
        <v>20</v>
      </c>
      <c r="N127" s="27">
        <v>20</v>
      </c>
      <c r="O127" s="27">
        <v>40</v>
      </c>
      <c r="P127" s="27">
        <v>40</v>
      </c>
      <c r="Q127" s="59">
        <v>80</v>
      </c>
      <c r="R127" s="59">
        <v>100</v>
      </c>
      <c r="S127" s="59">
        <v>0</v>
      </c>
      <c r="T127">
        <v>0</v>
      </c>
      <c r="U127" s="27">
        <v>0</v>
      </c>
      <c r="V127" s="27">
        <v>25</v>
      </c>
      <c r="W127" s="27">
        <v>50</v>
      </c>
      <c r="X127" s="27">
        <v>100</v>
      </c>
    </row>
    <row r="128" spans="1:32" ht="15.75" customHeight="1" x14ac:dyDescent="0.25">
      <c r="A128" s="1" t="s">
        <v>240</v>
      </c>
      <c r="B128" t="s">
        <v>76</v>
      </c>
      <c r="C128" t="s">
        <v>47</v>
      </c>
      <c r="D128" s="22" t="s">
        <v>79</v>
      </c>
      <c r="E128" s="2" t="s">
        <v>80</v>
      </c>
      <c r="F128" s="38"/>
      <c r="J128" s="27">
        <v>59</v>
      </c>
      <c r="K128" s="27">
        <v>64</v>
      </c>
      <c r="L128" s="27">
        <v>60</v>
      </c>
      <c r="M128" s="27">
        <v>71</v>
      </c>
      <c r="N128" s="27">
        <v>62</v>
      </c>
      <c r="O128" s="27">
        <v>56</v>
      </c>
      <c r="P128" s="27">
        <v>56</v>
      </c>
      <c r="Q128" s="59">
        <v>74</v>
      </c>
      <c r="R128" s="59">
        <v>58</v>
      </c>
      <c r="S128" s="59">
        <v>44</v>
      </c>
      <c r="T128">
        <v>27</v>
      </c>
      <c r="U128" s="27">
        <v>21</v>
      </c>
      <c r="V128" s="27">
        <v>26</v>
      </c>
      <c r="W128" s="27">
        <v>31</v>
      </c>
      <c r="X128" s="27">
        <v>40</v>
      </c>
    </row>
    <row r="129" spans="1:32" ht="15.75" customHeight="1" x14ac:dyDescent="0.25">
      <c r="A129" s="1" t="s">
        <v>240</v>
      </c>
      <c r="B129" t="s">
        <v>76</v>
      </c>
      <c r="C129" t="s">
        <v>47</v>
      </c>
      <c r="D129" s="22" t="s">
        <v>81</v>
      </c>
      <c r="E129" s="2" t="s">
        <v>82</v>
      </c>
      <c r="F129" s="38"/>
      <c r="J129" s="27">
        <v>10</v>
      </c>
      <c r="K129" s="27">
        <v>15</v>
      </c>
      <c r="L129" s="27">
        <v>12</v>
      </c>
      <c r="M129" s="27">
        <v>14</v>
      </c>
      <c r="N129" s="27">
        <v>1</v>
      </c>
      <c r="O129" s="27">
        <v>6</v>
      </c>
      <c r="P129" s="27">
        <v>19</v>
      </c>
      <c r="Q129" s="59">
        <v>1</v>
      </c>
      <c r="R129" s="59">
        <v>5</v>
      </c>
      <c r="S129" s="59">
        <v>6</v>
      </c>
      <c r="T129">
        <v>5</v>
      </c>
      <c r="U129" s="27">
        <v>3</v>
      </c>
      <c r="V129" s="27">
        <v>8</v>
      </c>
      <c r="W129" s="27">
        <v>2</v>
      </c>
      <c r="X129" s="27">
        <v>5</v>
      </c>
    </row>
    <row r="130" spans="1:32" ht="15.75" customHeight="1" x14ac:dyDescent="0.25">
      <c r="A130" s="1" t="s">
        <v>240</v>
      </c>
      <c r="B130" t="s">
        <v>76</v>
      </c>
      <c r="C130" t="s">
        <v>47</v>
      </c>
      <c r="D130" s="22" t="s">
        <v>83</v>
      </c>
      <c r="E130" s="2" t="s">
        <v>84</v>
      </c>
      <c r="F130" s="38"/>
      <c r="J130" s="27">
        <v>31</v>
      </c>
      <c r="K130" s="27">
        <v>21</v>
      </c>
      <c r="L130" s="27">
        <v>28</v>
      </c>
      <c r="M130" s="27">
        <v>15</v>
      </c>
      <c r="N130" s="27">
        <v>37</v>
      </c>
      <c r="O130" s="27">
        <v>38</v>
      </c>
      <c r="P130" s="27">
        <v>25</v>
      </c>
      <c r="Q130" s="59">
        <v>25</v>
      </c>
      <c r="R130" s="59">
        <v>37</v>
      </c>
      <c r="S130" s="59">
        <v>50</v>
      </c>
      <c r="T130">
        <v>68</v>
      </c>
      <c r="U130" s="27">
        <v>76</v>
      </c>
      <c r="V130" s="27">
        <v>66</v>
      </c>
      <c r="W130" s="27">
        <v>67</v>
      </c>
      <c r="X130" s="27">
        <v>55</v>
      </c>
    </row>
    <row r="131" spans="1:32" ht="15.75" customHeight="1" x14ac:dyDescent="0.25">
      <c r="A131" s="1" t="s">
        <v>240</v>
      </c>
      <c r="B131" t="s">
        <v>76</v>
      </c>
      <c r="C131" t="s">
        <v>47</v>
      </c>
      <c r="D131" s="22" t="s">
        <v>85</v>
      </c>
      <c r="E131" s="2" t="s">
        <v>66</v>
      </c>
      <c r="F131" s="38"/>
      <c r="J131" s="27">
        <v>0</v>
      </c>
      <c r="K131" s="27">
        <v>0</v>
      </c>
      <c r="L131" s="27">
        <v>0</v>
      </c>
      <c r="M131" s="27">
        <v>0</v>
      </c>
      <c r="N131" s="27">
        <v>0</v>
      </c>
      <c r="O131" s="27">
        <v>0</v>
      </c>
      <c r="P131" s="27">
        <v>0</v>
      </c>
      <c r="Q131" s="59">
        <v>0</v>
      </c>
      <c r="R131" s="59">
        <v>0</v>
      </c>
      <c r="S131" s="59">
        <v>0</v>
      </c>
      <c r="T131">
        <v>0</v>
      </c>
      <c r="U131" s="27">
        <v>0</v>
      </c>
      <c r="V131" s="27">
        <v>0</v>
      </c>
      <c r="W131" s="27">
        <v>0</v>
      </c>
      <c r="X131" s="27">
        <v>0</v>
      </c>
    </row>
    <row r="132" spans="1:32" ht="15.75" customHeight="1" x14ac:dyDescent="0.25">
      <c r="A132" s="1" t="s">
        <v>240</v>
      </c>
      <c r="B132" t="s">
        <v>102</v>
      </c>
      <c r="C132" t="s">
        <v>47</v>
      </c>
      <c r="D132" s="22" t="s">
        <v>177</v>
      </c>
      <c r="E132" s="2" t="s">
        <v>66</v>
      </c>
      <c r="F132" s="38"/>
      <c r="J132" s="27">
        <v>50</v>
      </c>
      <c r="K132" s="27">
        <v>30</v>
      </c>
      <c r="L132" s="27">
        <v>31</v>
      </c>
      <c r="M132" s="27">
        <v>35</v>
      </c>
      <c r="N132" s="27">
        <v>27</v>
      </c>
      <c r="O132" s="27">
        <v>28</v>
      </c>
      <c r="P132" s="27">
        <v>28</v>
      </c>
      <c r="Q132" s="59">
        <v>39</v>
      </c>
      <c r="R132" s="59">
        <v>10</v>
      </c>
      <c r="S132" s="59">
        <v>19</v>
      </c>
      <c r="T132">
        <v>13</v>
      </c>
      <c r="U132" s="27">
        <v>21</v>
      </c>
      <c r="V132" s="27">
        <v>10</v>
      </c>
      <c r="W132" s="27">
        <v>30</v>
      </c>
      <c r="X132" s="27">
        <v>27</v>
      </c>
    </row>
    <row r="133" spans="1:32" ht="15.75" customHeight="1" x14ac:dyDescent="0.25">
      <c r="A133" s="1" t="s">
        <v>240</v>
      </c>
      <c r="B133" t="s">
        <v>102</v>
      </c>
      <c r="C133" t="s">
        <v>47</v>
      </c>
      <c r="D133" s="22" t="s">
        <v>179</v>
      </c>
      <c r="E133" s="2" t="s">
        <v>66</v>
      </c>
      <c r="F133" s="38"/>
      <c r="J133" s="27">
        <v>3.18</v>
      </c>
      <c r="K133" s="27">
        <v>3.18</v>
      </c>
      <c r="L133" s="27">
        <v>3.88</v>
      </c>
      <c r="M133" s="27">
        <v>3.89</v>
      </c>
      <c r="N133" s="27">
        <v>4.5</v>
      </c>
      <c r="O133" s="27">
        <v>2.8</v>
      </c>
      <c r="P133" s="27">
        <v>3</v>
      </c>
      <c r="Q133" s="59">
        <v>4.88</v>
      </c>
      <c r="R133" s="59">
        <v>1.43</v>
      </c>
      <c r="S133" s="59">
        <v>2.71</v>
      </c>
      <c r="T133">
        <v>2.17</v>
      </c>
      <c r="U133" s="27">
        <v>3</v>
      </c>
      <c r="V133" s="27">
        <v>1.25</v>
      </c>
      <c r="W133" s="27">
        <v>3</v>
      </c>
      <c r="X133" s="27">
        <v>3.38</v>
      </c>
    </row>
    <row r="134" spans="1:32" ht="15.75" customHeight="1" x14ac:dyDescent="0.25">
      <c r="A134" s="1" t="s">
        <v>240</v>
      </c>
      <c r="B134" t="s">
        <v>102</v>
      </c>
      <c r="C134" t="s">
        <v>47</v>
      </c>
      <c r="D134" s="22" t="s">
        <v>181</v>
      </c>
      <c r="E134" s="2" t="s">
        <v>66</v>
      </c>
      <c r="F134" s="38"/>
      <c r="J134" s="27">
        <v>53</v>
      </c>
      <c r="K134" s="27">
        <v>33</v>
      </c>
      <c r="L134" s="27">
        <v>29</v>
      </c>
      <c r="M134" s="27">
        <v>36</v>
      </c>
      <c r="N134" s="27">
        <v>25</v>
      </c>
      <c r="O134" s="27">
        <v>26</v>
      </c>
      <c r="P134" s="27">
        <v>29</v>
      </c>
      <c r="Q134" s="59">
        <v>39</v>
      </c>
      <c r="R134" s="59">
        <v>10</v>
      </c>
      <c r="S134" s="59">
        <v>18</v>
      </c>
      <c r="T134">
        <v>12</v>
      </c>
      <c r="U134" s="27">
        <v>20</v>
      </c>
      <c r="V134" s="27">
        <v>11</v>
      </c>
      <c r="W134" s="27">
        <v>28</v>
      </c>
      <c r="X134" s="27">
        <v>24</v>
      </c>
    </row>
    <row r="135" spans="1:32" ht="15.75" customHeight="1" x14ac:dyDescent="0.25">
      <c r="A135" s="1" t="s">
        <v>240</v>
      </c>
      <c r="B135" t="s">
        <v>102</v>
      </c>
      <c r="C135" t="s">
        <v>47</v>
      </c>
      <c r="D135" s="22" t="s">
        <v>183</v>
      </c>
      <c r="E135" s="2" t="s">
        <v>66</v>
      </c>
      <c r="F135" s="38"/>
      <c r="J135" s="27">
        <v>3.42</v>
      </c>
      <c r="K135" s="27">
        <v>3.42</v>
      </c>
      <c r="L135" s="27">
        <v>3.62</v>
      </c>
      <c r="M135" s="27">
        <v>4</v>
      </c>
      <c r="N135" s="27">
        <v>4.17</v>
      </c>
      <c r="O135" s="27">
        <v>2.6</v>
      </c>
      <c r="P135" s="27">
        <v>2.9</v>
      </c>
      <c r="Q135" s="59">
        <v>4.88</v>
      </c>
      <c r="R135" s="59">
        <v>1.43</v>
      </c>
      <c r="S135" s="59">
        <v>2.57</v>
      </c>
      <c r="T135">
        <v>2</v>
      </c>
      <c r="U135" s="27">
        <v>2.86</v>
      </c>
      <c r="V135" s="27">
        <v>1.38</v>
      </c>
      <c r="W135" s="27">
        <v>2.8</v>
      </c>
      <c r="X135" s="27">
        <v>3</v>
      </c>
    </row>
    <row r="136" spans="1:32" ht="15.75" customHeight="1" x14ac:dyDescent="0.25">
      <c r="A136" s="1" t="s">
        <v>240</v>
      </c>
      <c r="B136" t="s">
        <v>102</v>
      </c>
      <c r="C136" t="s">
        <v>47</v>
      </c>
      <c r="D136" s="22" t="s">
        <v>185</v>
      </c>
      <c r="E136" s="2" t="s">
        <v>66</v>
      </c>
      <c r="F136" s="38"/>
      <c r="J136" s="27">
        <v>317</v>
      </c>
      <c r="K136" s="27">
        <v>210</v>
      </c>
      <c r="L136" s="27">
        <v>137</v>
      </c>
      <c r="M136" s="27">
        <v>207</v>
      </c>
      <c r="N136" s="27">
        <v>154</v>
      </c>
      <c r="O136" s="27">
        <v>126</v>
      </c>
      <c r="P136" s="27">
        <v>132</v>
      </c>
      <c r="Q136" s="59">
        <v>153</v>
      </c>
      <c r="R136" s="59">
        <v>45</v>
      </c>
      <c r="S136" s="59">
        <v>73</v>
      </c>
      <c r="T136">
        <v>29</v>
      </c>
      <c r="U136" s="27">
        <v>61</v>
      </c>
      <c r="V136" s="27">
        <v>76</v>
      </c>
      <c r="W136" s="27">
        <v>158</v>
      </c>
      <c r="X136" s="27">
        <v>147</v>
      </c>
    </row>
    <row r="137" spans="1:32" ht="15.75" customHeight="1" x14ac:dyDescent="0.25">
      <c r="A137" s="1" t="s">
        <v>240</v>
      </c>
      <c r="B137" t="s">
        <v>102</v>
      </c>
      <c r="C137" t="s">
        <v>47</v>
      </c>
      <c r="D137" s="22" t="s">
        <v>187</v>
      </c>
      <c r="E137" s="2" t="s">
        <v>66</v>
      </c>
      <c r="F137" s="38"/>
      <c r="J137" s="27">
        <v>18.66</v>
      </c>
      <c r="K137" s="27">
        <v>18.66</v>
      </c>
      <c r="L137" s="27">
        <v>17.12</v>
      </c>
      <c r="M137" s="27">
        <v>23</v>
      </c>
      <c r="N137" s="27">
        <v>25.67</v>
      </c>
      <c r="O137" s="27">
        <v>12.6</v>
      </c>
      <c r="P137" s="27">
        <v>13.2</v>
      </c>
      <c r="Q137" s="59">
        <v>19.12</v>
      </c>
      <c r="R137" s="59">
        <v>6.43</v>
      </c>
      <c r="S137" s="59">
        <v>10.43</v>
      </c>
      <c r="T137">
        <v>4.83</v>
      </c>
      <c r="U137" s="27">
        <v>8.7100000000000009</v>
      </c>
      <c r="V137" s="27">
        <v>9.5</v>
      </c>
      <c r="W137" s="27">
        <v>15.8</v>
      </c>
      <c r="X137" s="27">
        <v>18.3</v>
      </c>
    </row>
    <row r="138" spans="1:32" ht="15.75" customHeight="1" x14ac:dyDescent="0.25">
      <c r="A138" s="1" t="s">
        <v>240</v>
      </c>
      <c r="B138" s="17" t="s">
        <v>66</v>
      </c>
      <c r="C138" s="17" t="s">
        <v>66</v>
      </c>
      <c r="D138" s="17" t="s">
        <v>138</v>
      </c>
      <c r="E138" s="18" t="s">
        <v>66</v>
      </c>
      <c r="F138" s="41"/>
      <c r="G138" s="41"/>
      <c r="H138" s="40"/>
      <c r="I138" s="41"/>
      <c r="J138" s="56"/>
      <c r="K138" s="56"/>
      <c r="L138" s="56"/>
      <c r="M138" s="56"/>
      <c r="N138" s="56"/>
      <c r="O138" s="56"/>
      <c r="P138" s="56"/>
      <c r="Q138" s="60"/>
      <c r="R138" s="56"/>
      <c r="S138" s="56"/>
      <c r="T138" s="56"/>
      <c r="U138" s="56"/>
      <c r="V138" s="41"/>
      <c r="W138" s="41"/>
      <c r="X138" s="41"/>
      <c r="Y138" s="42"/>
      <c r="Z138" s="42"/>
      <c r="AA138" s="42"/>
      <c r="AB138" s="42"/>
      <c r="AC138" s="42"/>
      <c r="AD138" s="42"/>
      <c r="AE138" s="42"/>
      <c r="AF138" s="42"/>
    </row>
    <row r="139" spans="1:32" ht="15.75" customHeight="1" x14ac:dyDescent="0.25">
      <c r="L139" s="27" t="s">
        <v>241</v>
      </c>
      <c r="M139" s="27" t="s">
        <v>242</v>
      </c>
      <c r="N139" t="s">
        <v>243</v>
      </c>
      <c r="O139" s="27" t="s">
        <v>244</v>
      </c>
      <c r="P139" t="s">
        <v>245</v>
      </c>
      <c r="Q139" s="27" t="s">
        <v>238</v>
      </c>
      <c r="R139" s="75" t="s">
        <v>246</v>
      </c>
      <c r="S139" s="75" t="s">
        <v>247</v>
      </c>
      <c r="T139" s="77" t="s">
        <v>248</v>
      </c>
      <c r="U139" s="77" t="s">
        <v>220</v>
      </c>
      <c r="V139" s="78" t="s">
        <v>227</v>
      </c>
      <c r="W139" s="78" t="s">
        <v>239</v>
      </c>
      <c r="X139" s="78" t="s">
        <v>249</v>
      </c>
    </row>
    <row r="140" spans="1:32" ht="15.75" customHeight="1" x14ac:dyDescent="0.25">
      <c r="A140" s="1" t="s">
        <v>124</v>
      </c>
      <c r="B140" t="s">
        <v>46</v>
      </c>
      <c r="C140" t="s">
        <v>47</v>
      </c>
      <c r="D140" s="22" t="s">
        <v>48</v>
      </c>
      <c r="E140" s="2" t="s">
        <v>49</v>
      </c>
      <c r="F140" s="50"/>
      <c r="J140">
        <v>69.400000000000006</v>
      </c>
      <c r="L140">
        <v>37.700000000000003</v>
      </c>
      <c r="M140">
        <v>21.3</v>
      </c>
      <c r="N140">
        <v>32.4</v>
      </c>
      <c r="O140">
        <v>68</v>
      </c>
      <c r="P140">
        <v>100</v>
      </c>
      <c r="Q140" s="59">
        <v>100</v>
      </c>
      <c r="R140" s="59">
        <v>84.1</v>
      </c>
      <c r="S140">
        <v>100</v>
      </c>
      <c r="T140">
        <v>75.8</v>
      </c>
      <c r="U140">
        <v>100</v>
      </c>
      <c r="V140">
        <v>100</v>
      </c>
      <c r="W140">
        <v>83.9</v>
      </c>
      <c r="X140">
        <v>66.7</v>
      </c>
    </row>
    <row r="141" spans="1:32" ht="15.75" customHeight="1" x14ac:dyDescent="0.25">
      <c r="A141" s="1" t="s">
        <v>124</v>
      </c>
      <c r="B141" t="s">
        <v>46</v>
      </c>
      <c r="C141" t="s">
        <v>47</v>
      </c>
      <c r="D141" s="22" t="s">
        <v>50</v>
      </c>
      <c r="E141" s="2" t="s">
        <v>51</v>
      </c>
      <c r="J141">
        <v>11.89</v>
      </c>
      <c r="L141">
        <v>35.21</v>
      </c>
      <c r="M141">
        <v>7.06</v>
      </c>
      <c r="N141">
        <v>4.01</v>
      </c>
      <c r="O141">
        <v>6.17</v>
      </c>
      <c r="P141">
        <v>14.38</v>
      </c>
      <c r="Q141" s="59">
        <v>3.87</v>
      </c>
      <c r="R141" s="59">
        <v>7.75</v>
      </c>
      <c r="S141">
        <v>1.8</v>
      </c>
      <c r="T141">
        <v>9</v>
      </c>
      <c r="U141">
        <v>5.96</v>
      </c>
      <c r="V141">
        <v>2.31</v>
      </c>
      <c r="W141">
        <v>4.8499999999999996</v>
      </c>
      <c r="X141">
        <v>1.91</v>
      </c>
    </row>
    <row r="142" spans="1:32" ht="15.75" customHeight="1" x14ac:dyDescent="0.25">
      <c r="A142" s="1" t="s">
        <v>124</v>
      </c>
      <c r="B142" t="s">
        <v>46</v>
      </c>
      <c r="C142" t="s">
        <v>47</v>
      </c>
      <c r="D142" s="22" t="s">
        <v>52</v>
      </c>
      <c r="E142" s="2" t="s">
        <v>53</v>
      </c>
      <c r="F142" s="38"/>
      <c r="J142">
        <v>17</v>
      </c>
      <c r="L142">
        <v>35</v>
      </c>
      <c r="M142">
        <v>17</v>
      </c>
      <c r="N142">
        <v>16</v>
      </c>
      <c r="O142">
        <v>6</v>
      </c>
      <c r="P142">
        <v>2</v>
      </c>
      <c r="Q142" s="59">
        <v>2</v>
      </c>
      <c r="R142" s="59">
        <v>21</v>
      </c>
      <c r="S142">
        <v>44</v>
      </c>
      <c r="T142">
        <v>32</v>
      </c>
      <c r="U142">
        <v>35</v>
      </c>
      <c r="V142">
        <v>35</v>
      </c>
      <c r="W142">
        <v>43</v>
      </c>
      <c r="X142">
        <v>0.7</v>
      </c>
    </row>
    <row r="143" spans="1:32" ht="15.75" customHeight="1" x14ac:dyDescent="0.25">
      <c r="A143" s="1" t="s">
        <v>124</v>
      </c>
      <c r="B143" t="s">
        <v>46</v>
      </c>
      <c r="C143" t="s">
        <v>47</v>
      </c>
      <c r="D143" s="22" t="s">
        <v>54</v>
      </c>
      <c r="E143" s="2" t="s">
        <v>55</v>
      </c>
      <c r="F143" s="38"/>
      <c r="J143">
        <v>0</v>
      </c>
      <c r="L143">
        <v>0</v>
      </c>
      <c r="M143">
        <v>0</v>
      </c>
      <c r="N143">
        <v>0</v>
      </c>
      <c r="O143">
        <v>0</v>
      </c>
      <c r="P143">
        <v>0</v>
      </c>
      <c r="Q143" s="59">
        <v>0</v>
      </c>
      <c r="R143" s="59">
        <v>0</v>
      </c>
      <c r="S143">
        <v>0</v>
      </c>
      <c r="T143">
        <v>0</v>
      </c>
      <c r="U143">
        <v>0</v>
      </c>
      <c r="V143">
        <v>0</v>
      </c>
      <c r="W143">
        <v>0</v>
      </c>
      <c r="X143">
        <v>0</v>
      </c>
    </row>
    <row r="144" spans="1:32" ht="15.75" customHeight="1" x14ac:dyDescent="0.25">
      <c r="A144" s="1" t="s">
        <v>124</v>
      </c>
      <c r="B144" t="s">
        <v>56</v>
      </c>
      <c r="C144" t="s">
        <v>57</v>
      </c>
      <c r="D144" s="22" t="s">
        <v>58</v>
      </c>
      <c r="E144" s="13" t="s">
        <v>59</v>
      </c>
      <c r="J144">
        <v>0</v>
      </c>
      <c r="L144">
        <v>0</v>
      </c>
      <c r="M144">
        <v>0</v>
      </c>
      <c r="N144">
        <v>0</v>
      </c>
      <c r="O144">
        <v>0</v>
      </c>
      <c r="P144">
        <v>0</v>
      </c>
      <c r="Q144" s="59">
        <v>0</v>
      </c>
      <c r="R144" s="59">
        <v>0</v>
      </c>
      <c r="S144">
        <v>0</v>
      </c>
      <c r="T144">
        <v>0</v>
      </c>
      <c r="U144">
        <v>0</v>
      </c>
      <c r="V144">
        <v>0</v>
      </c>
      <c r="W144">
        <v>0</v>
      </c>
      <c r="X144">
        <v>0</v>
      </c>
    </row>
    <row r="145" spans="1:24" ht="15.75" customHeight="1" x14ac:dyDescent="0.25">
      <c r="A145" s="1" t="s">
        <v>124</v>
      </c>
      <c r="B145" t="s">
        <v>56</v>
      </c>
      <c r="C145" t="s">
        <v>57</v>
      </c>
      <c r="D145" s="23" t="s">
        <v>60</v>
      </c>
      <c r="E145" s="13" t="s">
        <v>61</v>
      </c>
      <c r="J145">
        <v>0</v>
      </c>
      <c r="L145">
        <v>0</v>
      </c>
      <c r="M145">
        <v>0</v>
      </c>
      <c r="N145">
        <v>0</v>
      </c>
      <c r="O145">
        <v>0</v>
      </c>
      <c r="P145">
        <v>0</v>
      </c>
      <c r="Q145" s="59">
        <v>0</v>
      </c>
      <c r="R145" s="59">
        <v>0</v>
      </c>
      <c r="S145">
        <v>0</v>
      </c>
      <c r="T145">
        <v>0</v>
      </c>
      <c r="U145">
        <v>0</v>
      </c>
      <c r="V145">
        <v>0</v>
      </c>
      <c r="W145">
        <v>0</v>
      </c>
      <c r="X145">
        <v>0</v>
      </c>
    </row>
    <row r="146" spans="1:24" ht="15.75" customHeight="1" x14ac:dyDescent="0.25">
      <c r="A146" s="1" t="s">
        <v>124</v>
      </c>
      <c r="B146" t="s">
        <v>56</v>
      </c>
      <c r="C146" t="s">
        <v>57</v>
      </c>
      <c r="D146" s="23" t="s">
        <v>62</v>
      </c>
      <c r="E146" s="13" t="s">
        <v>63</v>
      </c>
      <c r="J146">
        <v>0</v>
      </c>
      <c r="L146">
        <v>0</v>
      </c>
      <c r="M146">
        <v>0</v>
      </c>
      <c r="N146">
        <v>0</v>
      </c>
      <c r="O146">
        <v>0</v>
      </c>
      <c r="P146">
        <v>0</v>
      </c>
      <c r="Q146" s="59">
        <v>0</v>
      </c>
      <c r="R146" s="59">
        <v>0</v>
      </c>
      <c r="S146">
        <v>0</v>
      </c>
      <c r="T146">
        <v>0</v>
      </c>
      <c r="U146">
        <v>0</v>
      </c>
      <c r="V146">
        <v>0</v>
      </c>
      <c r="W146">
        <v>1</v>
      </c>
      <c r="X146">
        <v>1</v>
      </c>
    </row>
    <row r="147" spans="1:24" ht="15.75" customHeight="1" x14ac:dyDescent="0.25">
      <c r="A147" s="1" t="s">
        <v>124</v>
      </c>
      <c r="B147" t="s">
        <v>56</v>
      </c>
      <c r="C147" t="s">
        <v>57</v>
      </c>
      <c r="D147" s="22" t="s">
        <v>64</v>
      </c>
      <c r="E147" s="2" t="s">
        <v>65</v>
      </c>
      <c r="J147" t="s">
        <v>110</v>
      </c>
      <c r="L147" s="27" t="s">
        <v>110</v>
      </c>
      <c r="M147" s="27" t="s">
        <v>110</v>
      </c>
      <c r="N147" s="27" t="s">
        <v>110</v>
      </c>
      <c r="O147" s="27" t="s">
        <v>110</v>
      </c>
      <c r="P147">
        <v>0</v>
      </c>
      <c r="Q147" s="59">
        <v>0</v>
      </c>
      <c r="R147" s="59">
        <v>0</v>
      </c>
      <c r="S147">
        <v>0</v>
      </c>
      <c r="T147">
        <v>0</v>
      </c>
      <c r="U147">
        <v>0</v>
      </c>
      <c r="V147">
        <v>0</v>
      </c>
      <c r="W147">
        <v>0</v>
      </c>
      <c r="X147">
        <v>0</v>
      </c>
    </row>
    <row r="148" spans="1:24" ht="15.75" customHeight="1" x14ac:dyDescent="0.25">
      <c r="A148" s="1" t="s">
        <v>124</v>
      </c>
      <c r="B148" t="s">
        <v>9</v>
      </c>
      <c r="C148" t="s">
        <v>67</v>
      </c>
      <c r="D148" s="22" t="s">
        <v>68</v>
      </c>
      <c r="E148" s="2" t="s">
        <v>69</v>
      </c>
      <c r="J148">
        <v>0</v>
      </c>
      <c r="L148">
        <v>5</v>
      </c>
      <c r="M148">
        <v>5</v>
      </c>
      <c r="N148">
        <v>2</v>
      </c>
      <c r="O148">
        <v>1</v>
      </c>
      <c r="P148">
        <v>3</v>
      </c>
      <c r="Q148" s="59">
        <v>7</v>
      </c>
      <c r="R148" s="59">
        <v>10</v>
      </c>
      <c r="S148">
        <v>1</v>
      </c>
      <c r="T148">
        <v>4</v>
      </c>
      <c r="U148">
        <v>4</v>
      </c>
      <c r="V148">
        <v>9</v>
      </c>
      <c r="W148">
        <v>7</v>
      </c>
      <c r="X148">
        <v>10</v>
      </c>
    </row>
    <row r="149" spans="1:24" ht="15.75" customHeight="1" x14ac:dyDescent="0.25">
      <c r="A149" s="1" t="s">
        <v>124</v>
      </c>
      <c r="B149" t="s">
        <v>9</v>
      </c>
      <c r="C149" t="s">
        <v>67</v>
      </c>
      <c r="D149" s="22" t="s">
        <v>70</v>
      </c>
      <c r="E149" s="2" t="s">
        <v>69</v>
      </c>
      <c r="J149">
        <v>0</v>
      </c>
      <c r="L149">
        <v>2</v>
      </c>
      <c r="M149">
        <v>2</v>
      </c>
      <c r="N149">
        <v>2</v>
      </c>
      <c r="O149">
        <v>2</v>
      </c>
      <c r="P149">
        <v>3</v>
      </c>
      <c r="Q149" s="59">
        <v>5</v>
      </c>
      <c r="R149" s="59">
        <v>6</v>
      </c>
      <c r="S149">
        <v>2</v>
      </c>
      <c r="T149">
        <v>4</v>
      </c>
      <c r="U149">
        <v>2</v>
      </c>
      <c r="V149">
        <v>8</v>
      </c>
      <c r="W149">
        <v>10</v>
      </c>
      <c r="X149">
        <v>15</v>
      </c>
    </row>
    <row r="150" spans="1:24" ht="15.75" customHeight="1" x14ac:dyDescent="0.25">
      <c r="A150" s="1" t="s">
        <v>124</v>
      </c>
      <c r="B150" t="s">
        <v>76</v>
      </c>
      <c r="C150" t="s">
        <v>67</v>
      </c>
      <c r="D150" s="22" t="s">
        <v>77</v>
      </c>
      <c r="E150" s="2" t="s">
        <v>78</v>
      </c>
      <c r="F150" s="38"/>
      <c r="J150">
        <v>100</v>
      </c>
      <c r="L150">
        <v>0</v>
      </c>
      <c r="M150">
        <v>0</v>
      </c>
      <c r="N150">
        <v>0</v>
      </c>
      <c r="O150">
        <v>0</v>
      </c>
      <c r="P150">
        <v>0</v>
      </c>
      <c r="Q150" s="59">
        <v>0</v>
      </c>
      <c r="R150" s="59">
        <v>0</v>
      </c>
      <c r="S150">
        <v>0</v>
      </c>
      <c r="T150">
        <v>0</v>
      </c>
      <c r="U150">
        <v>0</v>
      </c>
      <c r="V150">
        <v>33</v>
      </c>
      <c r="W150">
        <v>0</v>
      </c>
      <c r="X150">
        <v>100</v>
      </c>
    </row>
    <row r="151" spans="1:24" ht="15.75" customHeight="1" x14ac:dyDescent="0.25">
      <c r="A151" s="1" t="s">
        <v>124</v>
      </c>
      <c r="B151" t="s">
        <v>76</v>
      </c>
      <c r="C151" t="s">
        <v>47</v>
      </c>
      <c r="D151" s="22" t="s">
        <v>79</v>
      </c>
      <c r="E151" s="2" t="s">
        <v>80</v>
      </c>
      <c r="F151" s="38"/>
      <c r="J151">
        <v>59</v>
      </c>
      <c r="L151">
        <v>53</v>
      </c>
      <c r="M151">
        <v>71</v>
      </c>
      <c r="N151">
        <v>83</v>
      </c>
      <c r="O151">
        <v>86</v>
      </c>
      <c r="P151">
        <v>98</v>
      </c>
      <c r="Q151">
        <v>48</v>
      </c>
      <c r="R151" s="59">
        <v>4</v>
      </c>
      <c r="S151">
        <v>0</v>
      </c>
      <c r="U151">
        <v>0</v>
      </c>
      <c r="V151">
        <v>3</v>
      </c>
      <c r="W151">
        <v>0</v>
      </c>
      <c r="X151">
        <v>13</v>
      </c>
    </row>
    <row r="152" spans="1:24" ht="15.75" customHeight="1" x14ac:dyDescent="0.25">
      <c r="A152" s="1" t="s">
        <v>124</v>
      </c>
      <c r="B152" t="s">
        <v>76</v>
      </c>
      <c r="C152" t="s">
        <v>47</v>
      </c>
      <c r="D152" s="22" t="s">
        <v>81</v>
      </c>
      <c r="E152" s="2" t="s">
        <v>82</v>
      </c>
      <c r="F152" s="38"/>
      <c r="J152">
        <v>10</v>
      </c>
      <c r="L152">
        <v>32</v>
      </c>
      <c r="M152">
        <v>10</v>
      </c>
      <c r="N152">
        <v>0</v>
      </c>
      <c r="O152">
        <v>0</v>
      </c>
      <c r="P152">
        <v>0</v>
      </c>
      <c r="Q152">
        <v>29</v>
      </c>
      <c r="R152" s="59">
        <v>59</v>
      </c>
      <c r="S152">
        <v>56</v>
      </c>
      <c r="U152">
        <v>52</v>
      </c>
      <c r="V152">
        <v>57</v>
      </c>
      <c r="W152">
        <v>57</v>
      </c>
      <c r="X152">
        <v>38</v>
      </c>
    </row>
    <row r="153" spans="1:24" ht="15.75" customHeight="1" x14ac:dyDescent="0.25">
      <c r="A153" s="1" t="s">
        <v>124</v>
      </c>
      <c r="B153" t="s">
        <v>76</v>
      </c>
      <c r="C153" t="s">
        <v>47</v>
      </c>
      <c r="D153" s="22" t="s">
        <v>83</v>
      </c>
      <c r="E153" s="2" t="s">
        <v>84</v>
      </c>
      <c r="F153" s="38"/>
      <c r="J153">
        <v>31</v>
      </c>
      <c r="L153">
        <v>25</v>
      </c>
      <c r="M153">
        <v>19</v>
      </c>
      <c r="N153">
        <v>16</v>
      </c>
      <c r="O153">
        <v>1</v>
      </c>
      <c r="P153">
        <v>1</v>
      </c>
      <c r="Q153">
        <v>23</v>
      </c>
      <c r="R153" s="59">
        <v>37</v>
      </c>
      <c r="S153">
        <v>44</v>
      </c>
      <c r="U153">
        <v>48</v>
      </c>
      <c r="V153">
        <v>40</v>
      </c>
      <c r="W153">
        <v>43</v>
      </c>
      <c r="X153">
        <v>49</v>
      </c>
    </row>
    <row r="154" spans="1:24" ht="15.75" customHeight="1" x14ac:dyDescent="0.25">
      <c r="A154" s="1" t="s">
        <v>124</v>
      </c>
      <c r="B154" t="s">
        <v>76</v>
      </c>
      <c r="C154" t="s">
        <v>47</v>
      </c>
      <c r="D154" s="22" t="s">
        <v>85</v>
      </c>
      <c r="E154" s="2" t="s">
        <v>66</v>
      </c>
      <c r="F154" s="38"/>
      <c r="J154">
        <v>0</v>
      </c>
      <c r="L154">
        <v>0</v>
      </c>
      <c r="M154">
        <v>0</v>
      </c>
      <c r="N154">
        <v>1</v>
      </c>
      <c r="O154">
        <v>1</v>
      </c>
      <c r="P154">
        <v>1</v>
      </c>
      <c r="Q154">
        <v>0</v>
      </c>
      <c r="R154" s="59">
        <v>0</v>
      </c>
      <c r="S154">
        <v>0</v>
      </c>
      <c r="U154">
        <v>0</v>
      </c>
      <c r="V154">
        <v>0</v>
      </c>
      <c r="W154">
        <v>0</v>
      </c>
      <c r="X154">
        <v>0</v>
      </c>
    </row>
    <row r="155" spans="1:24" ht="15.75" customHeight="1" x14ac:dyDescent="0.25">
      <c r="A155" s="1" t="s">
        <v>124</v>
      </c>
      <c r="B155" t="s">
        <v>102</v>
      </c>
      <c r="C155" t="s">
        <v>47</v>
      </c>
      <c r="D155" s="22" t="s">
        <v>177</v>
      </c>
      <c r="E155" s="2" t="s">
        <v>66</v>
      </c>
      <c r="F155" s="38"/>
      <c r="J155">
        <v>50</v>
      </c>
      <c r="L155">
        <v>28</v>
      </c>
      <c r="M155">
        <v>26</v>
      </c>
      <c r="N155">
        <v>27</v>
      </c>
      <c r="O155">
        <v>12</v>
      </c>
      <c r="P155">
        <v>22</v>
      </c>
      <c r="Q155">
        <v>39</v>
      </c>
      <c r="R155" s="59">
        <v>3.5</v>
      </c>
      <c r="S155">
        <v>23</v>
      </c>
      <c r="T155">
        <v>4</v>
      </c>
      <c r="U155">
        <v>19</v>
      </c>
      <c r="V155">
        <v>33</v>
      </c>
      <c r="W155">
        <v>19</v>
      </c>
      <c r="X155">
        <v>40</v>
      </c>
    </row>
    <row r="156" spans="1:24" ht="15.75" customHeight="1" x14ac:dyDescent="0.25">
      <c r="A156" s="1" t="s">
        <v>124</v>
      </c>
      <c r="B156" t="s">
        <v>102</v>
      </c>
      <c r="C156" t="s">
        <v>47</v>
      </c>
      <c r="D156" s="22" t="s">
        <v>179</v>
      </c>
      <c r="E156" s="2" t="s">
        <v>66</v>
      </c>
      <c r="F156" s="38"/>
      <c r="J156">
        <v>3.18</v>
      </c>
      <c r="L156">
        <v>2</v>
      </c>
      <c r="M156">
        <v>1.86</v>
      </c>
      <c r="N156">
        <v>2.25</v>
      </c>
      <c r="O156">
        <v>1.2</v>
      </c>
      <c r="P156">
        <v>1.83</v>
      </c>
      <c r="Q156">
        <v>3</v>
      </c>
      <c r="R156" s="59">
        <v>0.32</v>
      </c>
      <c r="S156">
        <v>1.64</v>
      </c>
      <c r="T156">
        <v>0.4</v>
      </c>
      <c r="U156">
        <v>1.46</v>
      </c>
      <c r="V156">
        <v>3.3</v>
      </c>
      <c r="W156">
        <v>1.9</v>
      </c>
      <c r="X156">
        <v>3.08</v>
      </c>
    </row>
    <row r="157" spans="1:24" ht="15.75" customHeight="1" x14ac:dyDescent="0.25">
      <c r="A157" s="1" t="s">
        <v>124</v>
      </c>
      <c r="B157" t="s">
        <v>102</v>
      </c>
      <c r="C157" t="s">
        <v>47</v>
      </c>
      <c r="D157" s="22" t="s">
        <v>181</v>
      </c>
      <c r="E157" s="2" t="s">
        <v>66</v>
      </c>
      <c r="F157" s="38"/>
      <c r="J157">
        <v>53</v>
      </c>
      <c r="L157">
        <v>26</v>
      </c>
      <c r="M157">
        <v>26</v>
      </c>
      <c r="N157">
        <v>25</v>
      </c>
      <c r="O157">
        <v>12</v>
      </c>
      <c r="P157">
        <v>25</v>
      </c>
      <c r="Q157">
        <v>40</v>
      </c>
      <c r="R157" s="59">
        <v>6.5</v>
      </c>
      <c r="S157">
        <v>26</v>
      </c>
      <c r="T157">
        <v>7</v>
      </c>
      <c r="U157">
        <v>23</v>
      </c>
      <c r="V157">
        <v>32</v>
      </c>
      <c r="W157">
        <v>25</v>
      </c>
      <c r="X157">
        <v>37</v>
      </c>
    </row>
    <row r="158" spans="1:24" ht="15.75" customHeight="1" x14ac:dyDescent="0.25">
      <c r="A158" s="1" t="s">
        <v>124</v>
      </c>
      <c r="B158" t="s">
        <v>102</v>
      </c>
      <c r="C158" t="s">
        <v>47</v>
      </c>
      <c r="D158" s="22" t="s">
        <v>183</v>
      </c>
      <c r="E158" s="2" t="s">
        <v>66</v>
      </c>
      <c r="F158" s="38"/>
      <c r="J158">
        <v>3.42</v>
      </c>
      <c r="L158">
        <v>1.86</v>
      </c>
      <c r="M158">
        <v>1.86</v>
      </c>
      <c r="N158">
        <v>2.08</v>
      </c>
      <c r="O158">
        <v>1.2</v>
      </c>
      <c r="P158">
        <v>2.08</v>
      </c>
      <c r="Q158">
        <v>3.08</v>
      </c>
      <c r="R158" s="59">
        <v>0.66</v>
      </c>
      <c r="S158">
        <v>1.86</v>
      </c>
      <c r="T158">
        <v>0.7</v>
      </c>
      <c r="U158">
        <v>1.77</v>
      </c>
      <c r="V158">
        <v>3.2</v>
      </c>
      <c r="W158">
        <v>2.5</v>
      </c>
      <c r="X158">
        <v>2.85</v>
      </c>
    </row>
    <row r="159" spans="1:24" ht="15.75" customHeight="1" x14ac:dyDescent="0.25">
      <c r="A159" s="1" t="s">
        <v>124</v>
      </c>
      <c r="B159" t="s">
        <v>102</v>
      </c>
      <c r="C159" t="s">
        <v>47</v>
      </c>
      <c r="D159" s="22" t="s">
        <v>185</v>
      </c>
      <c r="E159" s="2" t="s">
        <v>66</v>
      </c>
      <c r="F159" s="38"/>
      <c r="J159">
        <v>317</v>
      </c>
      <c r="L159">
        <v>47</v>
      </c>
      <c r="M159">
        <v>28</v>
      </c>
      <c r="N159">
        <v>78</v>
      </c>
      <c r="O159">
        <v>46</v>
      </c>
      <c r="P159">
        <v>37</v>
      </c>
      <c r="Q159">
        <v>38</v>
      </c>
      <c r="R159" s="59">
        <v>2.5</v>
      </c>
      <c r="S159">
        <v>27</v>
      </c>
      <c r="T159">
        <v>2</v>
      </c>
      <c r="U159">
        <v>15</v>
      </c>
      <c r="V159">
        <v>8</v>
      </c>
      <c r="W159">
        <v>2</v>
      </c>
      <c r="X159">
        <v>22</v>
      </c>
    </row>
    <row r="160" spans="1:24" ht="15.75" customHeight="1" x14ac:dyDescent="0.25">
      <c r="A160" s="1" t="s">
        <v>124</v>
      </c>
      <c r="B160" t="s">
        <v>102</v>
      </c>
      <c r="C160" t="s">
        <v>47</v>
      </c>
      <c r="D160" s="22" t="s">
        <v>187</v>
      </c>
      <c r="E160" s="2" t="s">
        <v>66</v>
      </c>
      <c r="F160" s="38"/>
      <c r="J160">
        <v>18.66</v>
      </c>
      <c r="L160">
        <v>3.36</v>
      </c>
      <c r="M160">
        <v>2</v>
      </c>
      <c r="N160">
        <v>6.5</v>
      </c>
      <c r="O160">
        <v>4.5999999999999996</v>
      </c>
      <c r="P160">
        <v>3.08</v>
      </c>
      <c r="Q160">
        <v>2.92</v>
      </c>
      <c r="R160" s="59">
        <v>0.22</v>
      </c>
      <c r="S160">
        <v>1.93</v>
      </c>
      <c r="T160">
        <v>0.2</v>
      </c>
      <c r="U160">
        <v>1.1499999999999999</v>
      </c>
      <c r="V160">
        <v>0.8</v>
      </c>
      <c r="W160">
        <v>0.2</v>
      </c>
      <c r="X160">
        <v>1.69</v>
      </c>
    </row>
    <row r="161" spans="1:32" ht="15.75" customHeight="1" x14ac:dyDescent="0.25">
      <c r="A161" s="1" t="s">
        <v>124</v>
      </c>
      <c r="B161" s="17" t="s">
        <v>66</v>
      </c>
      <c r="C161" s="17" t="s">
        <v>66</v>
      </c>
      <c r="D161" s="17" t="s">
        <v>138</v>
      </c>
      <c r="E161" s="18" t="s">
        <v>66</v>
      </c>
      <c r="F161" s="41"/>
      <c r="G161" s="41"/>
      <c r="H161" s="40"/>
      <c r="I161" s="41"/>
      <c r="J161" s="41"/>
      <c r="K161" s="41"/>
      <c r="L161" s="41"/>
      <c r="M161" s="41"/>
      <c r="N161" s="41"/>
      <c r="O161" s="41"/>
      <c r="P161" s="41"/>
      <c r="Q161" s="60"/>
      <c r="R161" s="41"/>
      <c r="S161" s="41"/>
      <c r="T161" s="41"/>
      <c r="U161" s="41"/>
      <c r="V161" s="41"/>
      <c r="W161" s="41"/>
      <c r="X161" s="41"/>
      <c r="Y161" s="42"/>
      <c r="Z161" s="42"/>
      <c r="AA161" s="42"/>
      <c r="AB161" s="42"/>
      <c r="AC161" s="42"/>
      <c r="AD161" s="42"/>
      <c r="AE161" s="42"/>
      <c r="AF161" s="42"/>
    </row>
    <row r="162" spans="1:32" ht="15.75" customHeight="1" x14ac:dyDescent="0.25">
      <c r="R162" s="75" t="s">
        <v>246</v>
      </c>
      <c r="S162" s="75" t="s">
        <v>247</v>
      </c>
      <c r="T162" s="77" t="s">
        <v>248</v>
      </c>
      <c r="U162" s="77" t="s">
        <v>220</v>
      </c>
      <c r="V162" s="78" t="s">
        <v>227</v>
      </c>
      <c r="W162" s="78" t="s">
        <v>239</v>
      </c>
      <c r="X162" s="78" t="s">
        <v>249</v>
      </c>
    </row>
    <row r="163" spans="1:32" ht="15.75" customHeight="1" x14ac:dyDescent="0.25">
      <c r="A163" s="54" t="s">
        <v>126</v>
      </c>
      <c r="B163" t="s">
        <v>46</v>
      </c>
      <c r="C163" t="s">
        <v>47</v>
      </c>
      <c r="D163" s="22" t="s">
        <v>48</v>
      </c>
      <c r="E163" s="2" t="s">
        <v>49</v>
      </c>
      <c r="F163" s="50"/>
      <c r="J163">
        <v>69.400000000000006</v>
      </c>
      <c r="L163">
        <v>43.6</v>
      </c>
      <c r="M163">
        <v>20.399999999999999</v>
      </c>
      <c r="N163">
        <v>100</v>
      </c>
      <c r="O163">
        <v>84.4</v>
      </c>
      <c r="P163">
        <v>77.599999999999994</v>
      </c>
      <c r="Q163">
        <v>58</v>
      </c>
      <c r="R163" s="59">
        <v>75.5</v>
      </c>
      <c r="S163">
        <v>94</v>
      </c>
      <c r="T163">
        <v>81.400000000000006</v>
      </c>
      <c r="U163">
        <v>67.2</v>
      </c>
      <c r="V163">
        <v>100</v>
      </c>
      <c r="W163">
        <v>88.6</v>
      </c>
      <c r="X163">
        <v>100</v>
      </c>
    </row>
    <row r="164" spans="1:32" ht="15.75" customHeight="1" x14ac:dyDescent="0.25">
      <c r="A164" s="54" t="s">
        <v>126</v>
      </c>
      <c r="B164" t="s">
        <v>46</v>
      </c>
      <c r="C164" t="s">
        <v>47</v>
      </c>
      <c r="D164" s="22" t="s">
        <v>50</v>
      </c>
      <c r="E164" s="2" t="s">
        <v>51</v>
      </c>
      <c r="J164">
        <v>11.89</v>
      </c>
      <c r="L164">
        <v>0.09</v>
      </c>
      <c r="M164">
        <v>7</v>
      </c>
      <c r="N164">
        <v>3.12</v>
      </c>
      <c r="O164">
        <v>6.43</v>
      </c>
      <c r="P164">
        <v>6.19</v>
      </c>
      <c r="Q164">
        <v>8.74</v>
      </c>
      <c r="R164" s="59">
        <v>4.16</v>
      </c>
      <c r="S164">
        <v>3.22</v>
      </c>
      <c r="T164">
        <v>7.41</v>
      </c>
      <c r="U164">
        <v>4.29</v>
      </c>
      <c r="V164">
        <v>2.52</v>
      </c>
      <c r="W164">
        <v>2.04</v>
      </c>
      <c r="X164">
        <v>1.96</v>
      </c>
    </row>
    <row r="165" spans="1:32" ht="15.75" customHeight="1" x14ac:dyDescent="0.25">
      <c r="A165" s="54" t="s">
        <v>126</v>
      </c>
      <c r="B165" t="s">
        <v>46</v>
      </c>
      <c r="C165" t="s">
        <v>47</v>
      </c>
      <c r="D165" s="22" t="s">
        <v>52</v>
      </c>
      <c r="E165" s="2" t="s">
        <v>53</v>
      </c>
      <c r="F165" s="38"/>
      <c r="J165">
        <v>17</v>
      </c>
      <c r="L165">
        <v>43</v>
      </c>
      <c r="M165">
        <v>47</v>
      </c>
      <c r="N165">
        <v>28</v>
      </c>
      <c r="O165">
        <v>20</v>
      </c>
      <c r="P165">
        <v>46</v>
      </c>
      <c r="Q165">
        <v>12</v>
      </c>
      <c r="R165" s="59">
        <v>0</v>
      </c>
      <c r="S165">
        <v>3</v>
      </c>
      <c r="T165">
        <v>0</v>
      </c>
      <c r="U165">
        <v>0</v>
      </c>
      <c r="V165">
        <v>1</v>
      </c>
      <c r="W165">
        <v>1</v>
      </c>
      <c r="X165">
        <v>4</v>
      </c>
    </row>
    <row r="166" spans="1:32" ht="15.75" customHeight="1" x14ac:dyDescent="0.25">
      <c r="A166" s="54" t="s">
        <v>126</v>
      </c>
      <c r="B166" t="s">
        <v>46</v>
      </c>
      <c r="C166" t="s">
        <v>47</v>
      </c>
      <c r="D166" s="22" t="s">
        <v>54</v>
      </c>
      <c r="E166" s="2" t="s">
        <v>55</v>
      </c>
      <c r="F166" s="38"/>
      <c r="J166">
        <v>0</v>
      </c>
      <c r="L166">
        <v>0</v>
      </c>
      <c r="M166">
        <v>0</v>
      </c>
      <c r="N166">
        <v>0</v>
      </c>
      <c r="O166">
        <v>0</v>
      </c>
      <c r="P166">
        <v>0</v>
      </c>
      <c r="Q166">
        <v>0</v>
      </c>
      <c r="R166" s="59">
        <v>0</v>
      </c>
      <c r="S166">
        <v>0</v>
      </c>
      <c r="T166">
        <v>0</v>
      </c>
      <c r="U166">
        <v>0</v>
      </c>
      <c r="V166">
        <v>0</v>
      </c>
      <c r="W166">
        <v>0</v>
      </c>
      <c r="X166">
        <v>0</v>
      </c>
    </row>
    <row r="167" spans="1:32" ht="15.75" customHeight="1" x14ac:dyDescent="0.25">
      <c r="A167" s="54" t="s">
        <v>126</v>
      </c>
      <c r="B167" t="s">
        <v>56</v>
      </c>
      <c r="C167" t="s">
        <v>57</v>
      </c>
      <c r="D167" s="22" t="s">
        <v>58</v>
      </c>
      <c r="E167" s="13" t="s">
        <v>59</v>
      </c>
      <c r="J167">
        <v>0</v>
      </c>
      <c r="L167">
        <v>0</v>
      </c>
      <c r="M167">
        <v>0</v>
      </c>
      <c r="N167">
        <v>0</v>
      </c>
      <c r="O167">
        <v>0</v>
      </c>
      <c r="P167">
        <v>0</v>
      </c>
      <c r="Q167">
        <v>0</v>
      </c>
      <c r="R167" s="59">
        <v>0</v>
      </c>
      <c r="S167">
        <v>0</v>
      </c>
      <c r="T167">
        <v>0</v>
      </c>
      <c r="U167">
        <v>0</v>
      </c>
      <c r="V167">
        <v>0</v>
      </c>
      <c r="W167">
        <v>0</v>
      </c>
      <c r="X167">
        <v>0</v>
      </c>
    </row>
    <row r="168" spans="1:32" ht="15.75" customHeight="1" x14ac:dyDescent="0.25">
      <c r="A168" s="54" t="s">
        <v>126</v>
      </c>
      <c r="B168" t="s">
        <v>56</v>
      </c>
      <c r="C168" t="s">
        <v>57</v>
      </c>
      <c r="D168" s="23" t="s">
        <v>60</v>
      </c>
      <c r="E168" s="13" t="s">
        <v>61</v>
      </c>
      <c r="J168">
        <v>0</v>
      </c>
      <c r="L168">
        <v>0</v>
      </c>
      <c r="M168">
        <v>0</v>
      </c>
      <c r="N168">
        <v>0</v>
      </c>
      <c r="O168">
        <v>0</v>
      </c>
      <c r="P168">
        <v>0</v>
      </c>
      <c r="Q168">
        <v>0</v>
      </c>
      <c r="R168" s="59">
        <v>0</v>
      </c>
      <c r="S168">
        <v>0</v>
      </c>
      <c r="T168">
        <v>0</v>
      </c>
      <c r="U168">
        <v>0</v>
      </c>
      <c r="V168">
        <v>0</v>
      </c>
      <c r="W168">
        <v>0</v>
      </c>
      <c r="X168">
        <v>0</v>
      </c>
    </row>
    <row r="169" spans="1:32" ht="15.75" customHeight="1" x14ac:dyDescent="0.25">
      <c r="A169" s="54" t="s">
        <v>126</v>
      </c>
      <c r="B169" t="s">
        <v>56</v>
      </c>
      <c r="C169" t="s">
        <v>57</v>
      </c>
      <c r="D169" s="23" t="s">
        <v>62</v>
      </c>
      <c r="E169" s="13" t="s">
        <v>63</v>
      </c>
      <c r="J169">
        <v>0</v>
      </c>
      <c r="L169">
        <v>0</v>
      </c>
      <c r="M169">
        <v>0</v>
      </c>
      <c r="N169">
        <v>0</v>
      </c>
      <c r="O169">
        <v>0</v>
      </c>
      <c r="P169">
        <v>0</v>
      </c>
      <c r="Q169">
        <v>0</v>
      </c>
      <c r="R169" s="59">
        <v>0</v>
      </c>
      <c r="S169">
        <v>0</v>
      </c>
      <c r="T169">
        <v>0</v>
      </c>
      <c r="U169">
        <v>0</v>
      </c>
      <c r="V169">
        <v>0</v>
      </c>
      <c r="W169">
        <v>1</v>
      </c>
      <c r="X169">
        <v>1</v>
      </c>
    </row>
    <row r="170" spans="1:32" ht="15.75" customHeight="1" x14ac:dyDescent="0.25">
      <c r="A170" s="54" t="s">
        <v>126</v>
      </c>
      <c r="B170" t="s">
        <v>56</v>
      </c>
      <c r="C170" t="s">
        <v>57</v>
      </c>
      <c r="D170" s="22" t="s">
        <v>64</v>
      </c>
      <c r="E170" s="2" t="s">
        <v>65</v>
      </c>
      <c r="J170" t="s">
        <v>110</v>
      </c>
      <c r="L170" t="s">
        <v>110</v>
      </c>
      <c r="M170" t="s">
        <v>110</v>
      </c>
      <c r="N170" t="s">
        <v>110</v>
      </c>
      <c r="O170" t="s">
        <v>110</v>
      </c>
      <c r="P170">
        <v>0</v>
      </c>
      <c r="Q170">
        <v>0</v>
      </c>
      <c r="R170" s="59">
        <v>0</v>
      </c>
      <c r="S170">
        <v>0</v>
      </c>
      <c r="T170">
        <v>0</v>
      </c>
      <c r="U170">
        <v>0</v>
      </c>
      <c r="V170">
        <v>0</v>
      </c>
      <c r="W170">
        <v>0</v>
      </c>
      <c r="X170">
        <v>0</v>
      </c>
    </row>
    <row r="171" spans="1:32" ht="15.75" customHeight="1" x14ac:dyDescent="0.25">
      <c r="A171" s="54" t="s">
        <v>126</v>
      </c>
      <c r="B171" t="s">
        <v>9</v>
      </c>
      <c r="C171" t="s">
        <v>67</v>
      </c>
      <c r="D171" s="22" t="s">
        <v>68</v>
      </c>
      <c r="E171" s="2" t="s">
        <v>69</v>
      </c>
      <c r="J171">
        <v>0</v>
      </c>
      <c r="L171">
        <v>5</v>
      </c>
      <c r="M171">
        <v>5</v>
      </c>
      <c r="N171">
        <v>1</v>
      </c>
      <c r="O171">
        <v>1</v>
      </c>
      <c r="P171">
        <v>2</v>
      </c>
      <c r="Q171">
        <v>0</v>
      </c>
      <c r="R171" s="59">
        <v>0</v>
      </c>
      <c r="S171">
        <v>0</v>
      </c>
      <c r="T171">
        <v>0</v>
      </c>
      <c r="U171">
        <v>0</v>
      </c>
      <c r="V171">
        <v>0</v>
      </c>
      <c r="W171">
        <v>0</v>
      </c>
      <c r="X171">
        <v>0</v>
      </c>
    </row>
    <row r="172" spans="1:32" ht="15.75" customHeight="1" x14ac:dyDescent="0.25">
      <c r="A172" s="54" t="s">
        <v>126</v>
      </c>
      <c r="B172" t="s">
        <v>9</v>
      </c>
      <c r="C172" t="s">
        <v>67</v>
      </c>
      <c r="D172" s="22" t="s">
        <v>70</v>
      </c>
      <c r="E172" s="2" t="s">
        <v>69</v>
      </c>
      <c r="J172">
        <v>0</v>
      </c>
      <c r="L172">
        <v>2</v>
      </c>
      <c r="M172">
        <v>2</v>
      </c>
      <c r="N172">
        <v>2</v>
      </c>
      <c r="O172">
        <v>2</v>
      </c>
      <c r="P172">
        <v>2</v>
      </c>
      <c r="Q172">
        <v>0</v>
      </c>
      <c r="R172" s="59">
        <v>0</v>
      </c>
      <c r="S172">
        <v>0</v>
      </c>
      <c r="T172">
        <v>0</v>
      </c>
      <c r="U172">
        <v>0</v>
      </c>
      <c r="V172">
        <v>0</v>
      </c>
      <c r="W172">
        <v>0</v>
      </c>
      <c r="X172">
        <v>0</v>
      </c>
    </row>
    <row r="173" spans="1:32" ht="15.75" customHeight="1" x14ac:dyDescent="0.25">
      <c r="A173" s="54" t="s">
        <v>126</v>
      </c>
      <c r="B173" t="s">
        <v>76</v>
      </c>
      <c r="C173" t="s">
        <v>67</v>
      </c>
      <c r="D173" s="22" t="s">
        <v>77</v>
      </c>
      <c r="E173" s="2" t="s">
        <v>78</v>
      </c>
      <c r="F173" s="38"/>
      <c r="J173">
        <v>100</v>
      </c>
      <c r="L173">
        <v>100</v>
      </c>
      <c r="M173">
        <v>100</v>
      </c>
      <c r="N173">
        <v>0</v>
      </c>
      <c r="O173">
        <v>0</v>
      </c>
      <c r="P173">
        <v>67.7</v>
      </c>
      <c r="Q173">
        <v>80</v>
      </c>
      <c r="R173" s="59">
        <v>80</v>
      </c>
      <c r="S173">
        <v>100</v>
      </c>
      <c r="T173">
        <v>0</v>
      </c>
      <c r="U173">
        <v>0</v>
      </c>
      <c r="V173">
        <v>33</v>
      </c>
      <c r="W173">
        <v>0</v>
      </c>
      <c r="X173">
        <v>100</v>
      </c>
    </row>
    <row r="174" spans="1:32" ht="15.75" customHeight="1" x14ac:dyDescent="0.25">
      <c r="A174" s="54" t="s">
        <v>126</v>
      </c>
      <c r="B174" t="s">
        <v>76</v>
      </c>
      <c r="C174" t="s">
        <v>47</v>
      </c>
      <c r="D174" s="22" t="s">
        <v>79</v>
      </c>
      <c r="E174" s="2" t="s">
        <v>80</v>
      </c>
      <c r="F174" s="38"/>
      <c r="J174">
        <v>59</v>
      </c>
      <c r="L174">
        <v>43</v>
      </c>
      <c r="M174">
        <v>68</v>
      </c>
      <c r="N174">
        <v>72</v>
      </c>
      <c r="O174">
        <v>76</v>
      </c>
      <c r="P174">
        <v>53</v>
      </c>
      <c r="Q174">
        <v>73</v>
      </c>
      <c r="R174" s="59">
        <v>100</v>
      </c>
      <c r="S174">
        <v>100</v>
      </c>
      <c r="T174">
        <v>100</v>
      </c>
      <c r="V174">
        <v>95</v>
      </c>
      <c r="W174">
        <v>92</v>
      </c>
      <c r="X174">
        <v>93</v>
      </c>
    </row>
    <row r="175" spans="1:32" ht="15.75" customHeight="1" x14ac:dyDescent="0.25">
      <c r="A175" s="54" t="s">
        <v>126</v>
      </c>
      <c r="B175" t="s">
        <v>76</v>
      </c>
      <c r="C175" t="s">
        <v>47</v>
      </c>
      <c r="D175" s="22" t="s">
        <v>81</v>
      </c>
      <c r="E175" s="2" t="s">
        <v>82</v>
      </c>
      <c r="F175" s="38"/>
      <c r="J175">
        <v>10</v>
      </c>
      <c r="L175">
        <v>5</v>
      </c>
      <c r="M175">
        <v>11</v>
      </c>
      <c r="N175">
        <v>7</v>
      </c>
      <c r="O175">
        <v>4</v>
      </c>
      <c r="P175">
        <v>8</v>
      </c>
      <c r="Q175">
        <v>9</v>
      </c>
      <c r="R175" s="59">
        <v>0</v>
      </c>
      <c r="S175">
        <v>0</v>
      </c>
      <c r="T175">
        <v>0</v>
      </c>
      <c r="V175">
        <v>0</v>
      </c>
      <c r="W175">
        <v>0</v>
      </c>
      <c r="X175">
        <v>4</v>
      </c>
    </row>
    <row r="176" spans="1:32" ht="15.75" customHeight="1" x14ac:dyDescent="0.25">
      <c r="A176" s="54" t="s">
        <v>126</v>
      </c>
      <c r="B176" t="s">
        <v>76</v>
      </c>
      <c r="C176" t="s">
        <v>47</v>
      </c>
      <c r="D176" s="22" t="s">
        <v>83</v>
      </c>
      <c r="E176" s="2" t="s">
        <v>84</v>
      </c>
      <c r="F176" s="38"/>
      <c r="J176">
        <v>31</v>
      </c>
      <c r="L176">
        <v>50</v>
      </c>
      <c r="M176">
        <v>18</v>
      </c>
      <c r="N176">
        <v>10</v>
      </c>
      <c r="O176">
        <v>20</v>
      </c>
      <c r="P176">
        <v>39</v>
      </c>
      <c r="Q176">
        <v>18</v>
      </c>
      <c r="R176" s="59">
        <v>0</v>
      </c>
      <c r="S176">
        <v>0</v>
      </c>
      <c r="T176">
        <v>0</v>
      </c>
      <c r="V176">
        <v>5</v>
      </c>
      <c r="W176">
        <v>8</v>
      </c>
      <c r="X176">
        <v>3</v>
      </c>
    </row>
    <row r="177" spans="1:32" ht="15.75" customHeight="1" x14ac:dyDescent="0.25">
      <c r="A177" s="54" t="s">
        <v>126</v>
      </c>
      <c r="B177" t="s">
        <v>76</v>
      </c>
      <c r="C177" t="s">
        <v>47</v>
      </c>
      <c r="D177" s="22" t="s">
        <v>85</v>
      </c>
      <c r="E177" s="2" t="s">
        <v>66</v>
      </c>
      <c r="F177" s="38"/>
      <c r="J177">
        <v>0</v>
      </c>
      <c r="L177">
        <v>2</v>
      </c>
      <c r="M177">
        <v>3</v>
      </c>
      <c r="N177">
        <v>11</v>
      </c>
      <c r="O177">
        <v>0</v>
      </c>
      <c r="P177">
        <v>0</v>
      </c>
      <c r="Q177">
        <v>0</v>
      </c>
      <c r="R177" s="59">
        <v>0</v>
      </c>
      <c r="S177">
        <v>0</v>
      </c>
      <c r="T177">
        <v>0</v>
      </c>
      <c r="V177">
        <v>0</v>
      </c>
      <c r="W177">
        <v>0</v>
      </c>
      <c r="X177">
        <v>0</v>
      </c>
    </row>
    <row r="178" spans="1:32" ht="15.75" customHeight="1" x14ac:dyDescent="0.25">
      <c r="A178" s="54" t="s">
        <v>126</v>
      </c>
      <c r="B178" t="s">
        <v>102</v>
      </c>
      <c r="C178" t="s">
        <v>47</v>
      </c>
      <c r="D178" s="22" t="s">
        <v>177</v>
      </c>
      <c r="E178" s="2" t="s">
        <v>66</v>
      </c>
      <c r="F178" s="38"/>
      <c r="J178">
        <v>50</v>
      </c>
      <c r="L178">
        <v>18</v>
      </c>
      <c r="M178">
        <v>16</v>
      </c>
      <c r="N178">
        <v>24</v>
      </c>
      <c r="O178">
        <v>47</v>
      </c>
      <c r="P178">
        <v>17</v>
      </c>
      <c r="Q178">
        <v>20</v>
      </c>
      <c r="R178" s="59">
        <v>42</v>
      </c>
      <c r="S178">
        <v>52</v>
      </c>
      <c r="T178">
        <v>44</v>
      </c>
      <c r="U178">
        <v>60</v>
      </c>
      <c r="V178">
        <v>70</v>
      </c>
      <c r="W178">
        <v>54</v>
      </c>
      <c r="X178">
        <v>71</v>
      </c>
    </row>
    <row r="179" spans="1:32" ht="15.75" customHeight="1" x14ac:dyDescent="0.25">
      <c r="A179" s="54" t="s">
        <v>126</v>
      </c>
      <c r="B179" t="s">
        <v>102</v>
      </c>
      <c r="C179" t="s">
        <v>47</v>
      </c>
      <c r="D179" s="22" t="s">
        <v>179</v>
      </c>
      <c r="E179" s="2" t="s">
        <v>66</v>
      </c>
      <c r="F179" s="38"/>
      <c r="J179">
        <v>3.18</v>
      </c>
      <c r="L179">
        <v>1.29</v>
      </c>
      <c r="M179">
        <v>1.33</v>
      </c>
      <c r="N179">
        <v>1.71</v>
      </c>
      <c r="O179">
        <v>3.92</v>
      </c>
      <c r="P179">
        <v>1.42</v>
      </c>
      <c r="Q179">
        <v>1.33</v>
      </c>
      <c r="R179" s="59">
        <v>3.23</v>
      </c>
      <c r="S179">
        <v>3.25</v>
      </c>
      <c r="T179">
        <v>2.93</v>
      </c>
      <c r="U179">
        <v>5</v>
      </c>
      <c r="V179">
        <v>7</v>
      </c>
      <c r="W179">
        <v>4.1500000000000004</v>
      </c>
      <c r="X179">
        <v>5.07</v>
      </c>
    </row>
    <row r="180" spans="1:32" ht="15.75" customHeight="1" x14ac:dyDescent="0.25">
      <c r="A180" s="54" t="s">
        <v>126</v>
      </c>
      <c r="B180" t="s">
        <v>102</v>
      </c>
      <c r="C180" t="s">
        <v>47</v>
      </c>
      <c r="D180" s="22" t="s">
        <v>181</v>
      </c>
      <c r="E180" s="2" t="s">
        <v>66</v>
      </c>
      <c r="F180" s="38"/>
      <c r="J180">
        <v>53</v>
      </c>
      <c r="L180">
        <v>24</v>
      </c>
      <c r="M180">
        <v>22</v>
      </c>
      <c r="N180">
        <v>46</v>
      </c>
      <c r="O180">
        <v>45</v>
      </c>
      <c r="P180">
        <v>27</v>
      </c>
      <c r="Q180">
        <v>18</v>
      </c>
      <c r="R180" s="59">
        <v>42</v>
      </c>
      <c r="S180">
        <v>53</v>
      </c>
      <c r="T180">
        <v>48</v>
      </c>
      <c r="U180">
        <v>59</v>
      </c>
      <c r="V180">
        <v>67</v>
      </c>
      <c r="W180">
        <v>56</v>
      </c>
      <c r="X180">
        <v>68</v>
      </c>
    </row>
    <row r="181" spans="1:32" ht="15.75" customHeight="1" x14ac:dyDescent="0.25">
      <c r="A181" s="54" t="s">
        <v>126</v>
      </c>
      <c r="B181" t="s">
        <v>102</v>
      </c>
      <c r="C181" t="s">
        <v>47</v>
      </c>
      <c r="D181" s="22" t="s">
        <v>183</v>
      </c>
      <c r="E181" s="2" t="s">
        <v>66</v>
      </c>
      <c r="F181" s="38"/>
      <c r="J181">
        <v>3.42</v>
      </c>
      <c r="L181">
        <v>1.71</v>
      </c>
      <c r="M181">
        <v>1.83</v>
      </c>
      <c r="N181">
        <v>3.29</v>
      </c>
      <c r="O181">
        <v>3.75</v>
      </c>
      <c r="P181">
        <v>2.25</v>
      </c>
      <c r="Q181">
        <v>1.2</v>
      </c>
      <c r="R181" s="59">
        <v>3.23</v>
      </c>
      <c r="S181">
        <v>3.31</v>
      </c>
      <c r="T181">
        <v>3.2</v>
      </c>
      <c r="U181">
        <v>4.92</v>
      </c>
      <c r="V181">
        <v>6.7</v>
      </c>
      <c r="W181">
        <v>4.3099999999999996</v>
      </c>
      <c r="X181">
        <v>4.8600000000000003</v>
      </c>
    </row>
    <row r="182" spans="1:32" ht="15.75" customHeight="1" x14ac:dyDescent="0.25">
      <c r="A182" s="54" t="s">
        <v>126</v>
      </c>
      <c r="B182" t="s">
        <v>102</v>
      </c>
      <c r="C182" t="s">
        <v>47</v>
      </c>
      <c r="D182" s="22" t="s">
        <v>185</v>
      </c>
      <c r="E182" s="2" t="s">
        <v>66</v>
      </c>
      <c r="F182" s="38"/>
      <c r="J182">
        <v>317</v>
      </c>
      <c r="L182">
        <v>16</v>
      </c>
      <c r="M182">
        <v>13</v>
      </c>
      <c r="N182">
        <v>9</v>
      </c>
      <c r="O182">
        <v>17</v>
      </c>
      <c r="P182">
        <v>12</v>
      </c>
      <c r="Q182">
        <v>87</v>
      </c>
      <c r="R182" s="59">
        <v>31</v>
      </c>
      <c r="S182">
        <v>36</v>
      </c>
      <c r="T182">
        <v>57</v>
      </c>
      <c r="U182">
        <v>70</v>
      </c>
      <c r="V182">
        <v>54</v>
      </c>
      <c r="W182">
        <v>68</v>
      </c>
      <c r="X182">
        <v>125</v>
      </c>
    </row>
    <row r="183" spans="1:32" ht="15.75" customHeight="1" x14ac:dyDescent="0.25">
      <c r="A183" s="54" t="s">
        <v>126</v>
      </c>
      <c r="B183" t="s">
        <v>102</v>
      </c>
      <c r="C183" t="s">
        <v>47</v>
      </c>
      <c r="D183" s="22" t="s">
        <v>187</v>
      </c>
      <c r="E183" s="2" t="s">
        <v>66</v>
      </c>
      <c r="F183" s="38"/>
      <c r="J183">
        <v>18.66</v>
      </c>
      <c r="L183">
        <v>1.1399999999999999</v>
      </c>
      <c r="M183">
        <v>1.08</v>
      </c>
      <c r="N183">
        <v>0.64</v>
      </c>
      <c r="O183">
        <v>1.42</v>
      </c>
      <c r="P183">
        <v>1</v>
      </c>
      <c r="Q183">
        <v>5.8</v>
      </c>
      <c r="R183" s="59">
        <v>2.38</v>
      </c>
      <c r="S183">
        <v>2.25</v>
      </c>
      <c r="T183">
        <v>3.8</v>
      </c>
      <c r="U183">
        <v>5.83</v>
      </c>
      <c r="V183">
        <v>5.4</v>
      </c>
      <c r="W183">
        <v>5.23</v>
      </c>
      <c r="X183">
        <v>8.93</v>
      </c>
    </row>
    <row r="184" spans="1:32" ht="15.75" customHeight="1" x14ac:dyDescent="0.25">
      <c r="A184" s="54" t="s">
        <v>126</v>
      </c>
      <c r="B184" s="17" t="s">
        <v>66</v>
      </c>
      <c r="C184" s="17" t="s">
        <v>66</v>
      </c>
      <c r="D184" s="17" t="s">
        <v>138</v>
      </c>
      <c r="E184" s="18" t="s">
        <v>66</v>
      </c>
      <c r="F184" s="41"/>
      <c r="G184" s="41"/>
      <c r="H184" s="40"/>
      <c r="I184" s="41"/>
      <c r="J184" s="41"/>
      <c r="K184" s="41"/>
      <c r="L184" s="41"/>
      <c r="M184" s="41"/>
      <c r="N184" s="41"/>
      <c r="O184" s="41"/>
      <c r="P184" s="41"/>
      <c r="Q184" s="60"/>
      <c r="R184" s="41"/>
      <c r="S184" s="41"/>
      <c r="T184" s="41"/>
      <c r="U184" s="41"/>
      <c r="V184" s="41"/>
      <c r="W184" s="41"/>
      <c r="X184" s="41"/>
      <c r="Y184" s="42"/>
      <c r="Z184" s="42"/>
      <c r="AA184" s="42"/>
      <c r="AB184" s="42"/>
      <c r="AC184" s="42"/>
      <c r="AD184" s="42"/>
      <c r="AE184" s="42"/>
      <c r="AF184" s="42"/>
    </row>
  </sheetData>
  <autoFilter ref="A1:G184" xr:uid="{ACD0F9BF-C06F-C048-8519-861F3556F250}"/>
  <hyperlinks>
    <hyperlink ref="D33" r:id="rId1" xr:uid="{D8E47849-8B47-43B7-A339-FFAA9E79C0D5}"/>
  </hyperlinks>
  <pageMargins left="0.7" right="0.7" top="0.75" bottom="0.75" header="0.3" footer="0.3"/>
  <pageSetup orientation="portrait" horizontalDpi="0" verticalDpi="0"/>
  <legacyDrawing r:id="rId2"/>
</worksheet>
</file>

<file path=docMetadata/LabelInfo.xml><?xml version="1.0" encoding="utf-8"?>
<clbl:labelList xmlns:clbl="http://schemas.microsoft.com/office/2020/mipLabelMetadata">
  <clbl:label id="{e0d9abbc-a5c2-4590-aa27-86b9a8be4f6e}" enabled="0" method="" siteId="{e0d9abbc-a5c2-4590-aa27-86b9a8be4f6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Detail1</vt:lpstr>
      <vt:lpstr>Summary View</vt:lpstr>
      <vt:lpstr>Instructions</vt:lpstr>
      <vt:lpstr>Product-Level Template</vt:lpstr>
      <vt:lpstr>Team-Level Template</vt:lpstr>
      <vt:lpstr>Sprint -Team-Level 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Mukul Varma</dc:creator>
  <cp:keywords/>
  <dc:description/>
  <cp:lastModifiedBy>Dan Schiff</cp:lastModifiedBy>
  <cp:revision/>
  <dcterms:created xsi:type="dcterms:W3CDTF">2025-07-23T13:17:24Z</dcterms:created>
  <dcterms:modified xsi:type="dcterms:W3CDTF">2026-04-06T13:21:39Z</dcterms:modified>
  <cp:category/>
  <cp:contentStatus/>
</cp:coreProperties>
</file>